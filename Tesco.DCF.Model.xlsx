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hmo\Downloads\"/>
    </mc:Choice>
  </mc:AlternateContent>
  <xr:revisionPtr revIDLastSave="0" documentId="8_{8D6494B3-29B8-40FB-B364-907535FA6E05}" xr6:coauthVersionLast="47" xr6:coauthVersionMax="47" xr10:uidLastSave="{00000000-0000-0000-0000-000000000000}"/>
  <bookViews>
    <workbookView xWindow="14295" yWindow="0" windowWidth="14610" windowHeight="15585" xr2:uid="{C5466B36-BB97-42F5-A6E0-8BECEB16D4D1}"/>
  </bookViews>
  <sheets>
    <sheet name="DCF Exercise" sheetId="13" r:id="rId1"/>
  </sheets>
  <definedNames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</definedNames>
  <calcPr calcId="191029" calcMode="autoNoTable" iterate="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" i="13" l="1"/>
  <c r="F59" i="13"/>
  <c r="G59" i="13"/>
  <c r="H59" i="13"/>
  <c r="I59" i="13"/>
  <c r="J59" i="13"/>
  <c r="F52" i="13"/>
  <c r="F60" i="13"/>
  <c r="D78" i="13"/>
  <c r="D88" i="13"/>
  <c r="F61" i="13"/>
  <c r="F62" i="13"/>
  <c r="G52" i="13"/>
  <c r="G60" i="13"/>
  <c r="G61" i="13"/>
  <c r="G62" i="13"/>
  <c r="H52" i="13"/>
  <c r="H60" i="13"/>
  <c r="H61" i="13"/>
  <c r="H62" i="13"/>
  <c r="I60" i="13"/>
  <c r="I61" i="13"/>
  <c r="I62" i="13"/>
  <c r="J52" i="13"/>
  <c r="J60" i="13"/>
  <c r="J61" i="13"/>
  <c r="J62" i="13"/>
  <c r="C63" i="13"/>
  <c r="C69" i="13"/>
  <c r="C68" i="13"/>
  <c r="C70" i="13"/>
  <c r="C71" i="13"/>
  <c r="D91" i="13"/>
  <c r="D93" i="13"/>
  <c r="D95" i="13"/>
  <c r="D94" i="13"/>
  <c r="D92" i="13"/>
  <c r="D74" i="13"/>
  <c r="D75" i="13"/>
  <c r="D82" i="13"/>
  <c r="D81" i="13"/>
  <c r="D83" i="13"/>
  <c r="D86" i="13"/>
  <c r="D85" i="13"/>
  <c r="F10" i="13"/>
  <c r="G10" i="13"/>
  <c r="H10" i="13"/>
  <c r="I10" i="13"/>
  <c r="J10" i="13"/>
  <c r="J16" i="13"/>
  <c r="J50" i="13"/>
  <c r="J19" i="13"/>
  <c r="J53" i="13"/>
  <c r="F26" i="13"/>
  <c r="G26" i="13"/>
  <c r="H26" i="13"/>
  <c r="I26" i="13"/>
  <c r="J26" i="13"/>
  <c r="J54" i="13"/>
  <c r="F27" i="13"/>
  <c r="G27" i="13"/>
  <c r="H27" i="13"/>
  <c r="I27" i="13"/>
  <c r="J27" i="13"/>
  <c r="J55" i="13"/>
  <c r="F28" i="13"/>
  <c r="G28" i="13"/>
  <c r="H28" i="13"/>
  <c r="I28" i="13"/>
  <c r="J28" i="13"/>
  <c r="J56" i="13"/>
  <c r="F30" i="13"/>
  <c r="G30" i="13"/>
  <c r="H30" i="13"/>
  <c r="I30" i="13"/>
  <c r="J30" i="13"/>
  <c r="J57" i="13"/>
  <c r="F31" i="13"/>
  <c r="G31" i="13"/>
  <c r="H31" i="13"/>
  <c r="I31" i="13"/>
  <c r="J31" i="13"/>
  <c r="J58" i="13"/>
  <c r="F35" i="13"/>
  <c r="G35" i="13"/>
  <c r="H35" i="13"/>
  <c r="I35" i="13"/>
  <c r="J35" i="13"/>
  <c r="G47" i="13"/>
  <c r="H47" i="13"/>
  <c r="I47" i="13"/>
  <c r="J47" i="13"/>
  <c r="F16" i="13"/>
  <c r="F50" i="13"/>
  <c r="F19" i="13"/>
  <c r="F53" i="13"/>
  <c r="F54" i="13"/>
  <c r="F55" i="13"/>
  <c r="F56" i="13"/>
  <c r="F57" i="13"/>
  <c r="F58" i="13"/>
  <c r="G16" i="13"/>
  <c r="G50" i="13"/>
  <c r="G19" i="13"/>
  <c r="G53" i="13"/>
  <c r="G54" i="13"/>
  <c r="G55" i="13"/>
  <c r="G56" i="13"/>
  <c r="G57" i="13"/>
  <c r="G58" i="13"/>
  <c r="H16" i="13"/>
  <c r="H50" i="13"/>
  <c r="H19" i="13"/>
  <c r="H53" i="13"/>
  <c r="H54" i="13"/>
  <c r="H55" i="13"/>
  <c r="H56" i="13"/>
  <c r="H57" i="13"/>
  <c r="H58" i="13"/>
  <c r="I16" i="13"/>
  <c r="I50" i="13"/>
  <c r="I19" i="13"/>
  <c r="I53" i="13"/>
  <c r="I54" i="13"/>
  <c r="I55" i="13"/>
  <c r="I56" i="13"/>
  <c r="I57" i="13"/>
  <c r="I58" i="13"/>
  <c r="J13" i="13"/>
  <c r="J49" i="13"/>
  <c r="I13" i="13"/>
  <c r="I49" i="13"/>
  <c r="H13" i="13"/>
  <c r="H49" i="13"/>
  <c r="G13" i="13"/>
  <c r="G49" i="13"/>
  <c r="F13" i="13"/>
  <c r="F49" i="13"/>
  <c r="J48" i="13"/>
  <c r="I48" i="13"/>
  <c r="H48" i="13"/>
  <c r="G48" i="13"/>
  <c r="F48" i="13"/>
  <c r="F24" i="13"/>
  <c r="G24" i="13"/>
  <c r="H24" i="13"/>
  <c r="I24" i="13"/>
  <c r="J24" i="13"/>
  <c r="F25" i="13"/>
  <c r="G25" i="13"/>
  <c r="H25" i="13"/>
  <c r="I25" i="13"/>
  <c r="J25" i="13"/>
  <c r="F33" i="13"/>
  <c r="G33" i="13"/>
  <c r="H33" i="13"/>
  <c r="I33" i="13"/>
  <c r="J33" i="13"/>
  <c r="F9" i="13"/>
  <c r="G9" i="13"/>
  <c r="H9" i="13"/>
  <c r="I9" i="13"/>
  <c r="J9" i="13"/>
  <c r="F46" i="13"/>
  <c r="G46" i="13"/>
  <c r="H46" i="13"/>
  <c r="I46" i="13"/>
  <c r="J46" i="13"/>
</calcChain>
</file>

<file path=xl/sharedStrings.xml><?xml version="1.0" encoding="utf-8"?>
<sst xmlns="http://schemas.openxmlformats.org/spreadsheetml/2006/main" count="85" uniqueCount="75">
  <si>
    <t>Projected Annual Forecast</t>
  </si>
  <si>
    <t>Total Revenues</t>
  </si>
  <si>
    <t>EBITDA</t>
  </si>
  <si>
    <t>Accounts receivable</t>
  </si>
  <si>
    <t>Inventories</t>
  </si>
  <si>
    <t>Prepaid expenses</t>
  </si>
  <si>
    <t>Accounts payable</t>
  </si>
  <si>
    <t>Accrued expenses</t>
  </si>
  <si>
    <t>Capital expenditures</t>
  </si>
  <si>
    <t>EBIT</t>
  </si>
  <si>
    <t>Tax rate</t>
  </si>
  <si>
    <t>EBIAT</t>
  </si>
  <si>
    <t>Depreciation &amp; Amortization</t>
  </si>
  <si>
    <t>Unlevered free cash flows</t>
  </si>
  <si>
    <t>Present value of free cash flows</t>
  </si>
  <si>
    <t>Sum of present values of FCFs</t>
  </si>
  <si>
    <t>Long term growth rate</t>
  </si>
  <si>
    <t>Free cash flow (t+1)</t>
  </si>
  <si>
    <t>Period</t>
  </si>
  <si>
    <t>Tax Rate</t>
  </si>
  <si>
    <t>Share Price</t>
  </si>
  <si>
    <t>Capital Expenditures</t>
  </si>
  <si>
    <t>Equity Value</t>
  </si>
  <si>
    <t>Cost of Debt</t>
  </si>
  <si>
    <t>Cost of Equity</t>
  </si>
  <si>
    <t>Debt Weighting</t>
  </si>
  <si>
    <t>Total Capital</t>
  </si>
  <si>
    <t>Equity Weighting</t>
  </si>
  <si>
    <t>WACC =</t>
  </si>
  <si>
    <t>$mm</t>
  </si>
  <si>
    <r>
      <t xml:space="preserve">Discount Rate </t>
    </r>
    <r>
      <rPr>
        <i/>
        <sz val="11"/>
        <rFont val="Calibri"/>
        <family val="2"/>
      </rPr>
      <t>(WACC)</t>
    </r>
  </si>
  <si>
    <t>Free Cash Flow Buildup</t>
  </si>
  <si>
    <t>Terminal Value</t>
  </si>
  <si>
    <t>Growth in perpetuity method:</t>
  </si>
  <si>
    <t>Enterprise Value to Equity Value</t>
  </si>
  <si>
    <t>WACC</t>
  </si>
  <si>
    <t>Total Debt ($)</t>
  </si>
  <si>
    <t>Total Equity ($)</t>
  </si>
  <si>
    <t>Enterprise Value</t>
  </si>
  <si>
    <t>Less: Net debt</t>
  </si>
  <si>
    <t>Equity Value Per Share</t>
  </si>
  <si>
    <t>Share Price on Valuation Date:</t>
  </si>
  <si>
    <t>Valuation Date:</t>
  </si>
  <si>
    <t>Capital Expenditures Growth (%)</t>
  </si>
  <si>
    <t>Present Value of Terminal Value</t>
  </si>
  <si>
    <t>After-tax Cost of Debt</t>
  </si>
  <si>
    <t>Cash</t>
  </si>
  <si>
    <t>Diluted Shares Outstanding</t>
  </si>
  <si>
    <t>Select Operating Data</t>
  </si>
  <si>
    <t>Revenue</t>
  </si>
  <si>
    <t>Revenue Growth Rate (%)</t>
  </si>
  <si>
    <t>EBITDA Margin (%)</t>
  </si>
  <si>
    <t xml:space="preserve">Depreciation &amp; Amortization </t>
  </si>
  <si>
    <t>EBIT Margin (%)</t>
  </si>
  <si>
    <t>D&amp;A as a % of revenue</t>
  </si>
  <si>
    <t>Select Balance Sheet And Other Data</t>
  </si>
  <si>
    <t>Debt</t>
  </si>
  <si>
    <t>Accounts Receivable</t>
  </si>
  <si>
    <t>Prepaid Expenses</t>
  </si>
  <si>
    <t>Accounts Payable</t>
  </si>
  <si>
    <t>Accrued Expenses</t>
  </si>
  <si>
    <t>Accounts Receivable Growth (%)</t>
  </si>
  <si>
    <t>Inventories Growth (%)</t>
  </si>
  <si>
    <t>Prepaid Expenses Growth (%)</t>
  </si>
  <si>
    <t>Accounts Payable Growth (%)</t>
  </si>
  <si>
    <t>Accrued Expenses Growth (%)</t>
  </si>
  <si>
    <t>Q: If the stock is trading at $25.00 a share and you believe that your DCF analysis is accurate, would you buy or sell stock in this company?  Why?</t>
  </si>
  <si>
    <t xml:space="preserve"> </t>
  </si>
  <si>
    <t xml:space="preserve">  </t>
  </si>
  <si>
    <t xml:space="preserve"> rf + B( market risk premium)</t>
  </si>
  <si>
    <t>equity value = enterprise value - debt</t>
  </si>
  <si>
    <t>TESCO</t>
  </si>
  <si>
    <t>stage 2 of FCF analysis</t>
  </si>
  <si>
    <t>stage 1 of FCF analysis</t>
  </si>
  <si>
    <t>I would buy the stock, we believed its to be 46.88 and its considered 25.00 the share is considered to be cheap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</si>
</sst>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0">
    <numFmt numFmtId="164" formatCode="&quot;$&quot;#,##0.00_);[Red]\(&quot;$&quot;#,##0.00\)"/>
    <numFmt numFmtId="165" formatCode="_(&quot;$&quot;* #,##0.00_);_(&quot;$&quot;* \(#,##0.00\);_(&quot;$&quot;* &quot;-&quot;??_);_(@_)"/>
    <numFmt numFmtId="166" formatCode="#,##0.0"/>
    <numFmt numFmtId="167" formatCode="#,##0.0_);\(#,##0.0\)"/>
    <numFmt numFmtId="168" formatCode="[$-409]h:mm:ss\ AM/PM"/>
    <numFmt numFmtId="169" formatCode="0.0%"/>
    <numFmt numFmtId="170" formatCode="#,##0.0%_);\(#,##0.0%\)"/>
    <numFmt numFmtId="171" formatCode="mm/dd/yy;@"/>
    <numFmt numFmtId="172" formatCode="0.0"/>
    <numFmt numFmtId="173" formatCode="#,##0.000_);[Red]\(#,##0.000\)"/>
    <numFmt numFmtId="174" formatCode="&quot;$&quot;#,##0.0_);\(&quot;$&quot;#,##0.0\)"/>
    <numFmt numFmtId="175" formatCode="&quot;$&quot;#,##0.00"/>
    <numFmt numFmtId="176" formatCode="[&gt;1]&quot;10Q: &quot;0&quot; qtrs&quot;;&quot;10Q: &quot;0&quot; qtr&quot;"/>
    <numFmt numFmtId="177" formatCode="&quot;$&quot;#,##0.00_);[Red]\(&quot;$&quot;#,##0.00\);&quot;--  &quot;;_(@_)"/>
    <numFmt numFmtId="178" formatCode="mmm\-dd\-yy"/>
    <numFmt numFmtId="179" formatCode="mmm\-dd\-yyyy"/>
    <numFmt numFmtId="180" formatCode="mmm\-d\-yyyy"/>
    <numFmt numFmtId="181" formatCode="mmm\-yyyy"/>
    <numFmt numFmtId="182" formatCode="#,##0.0_);[Red]\(#,##0.0\);&quot;--  &quot;"/>
    <numFmt numFmtId="183" formatCode="#,##0.0_);[Red]\(#,##0.0\)"/>
    <numFmt numFmtId="184" formatCode="#,##0.00&quot;x&quot;_);[Red]\(#,##0.00&quot;x&quot;\)"/>
    <numFmt numFmtId="185" formatCode="#,##0.0%_);[Red]\(#,##0.0%\)"/>
    <numFmt numFmtId="186" formatCode="#,##0.00%_);[Red]\(#,##0.00%\)"/>
    <numFmt numFmtId="187" formatCode="0.00\x"/>
    <numFmt numFmtId="188" formatCode="0.0&quot; years&quot;"/>
    <numFmt numFmtId="189" formatCode="_(* #,##0.0_);_(* \(#,##0.0\);_(* &quot;-&quot;?_);_(@_)"/>
    <numFmt numFmtId="190" formatCode="_(#,##0\ \b\p_);_(\(#,##0\ \b\p\);&quot;-&quot;?;_(@_)"/>
    <numFmt numFmtId="191" formatCode="#,##0.0_);\(#,##0.0\);&quot;-&quot;?"/>
    <numFmt numFmtId="192" formatCode="#,##0.00_);\(#,##0.00\);&quot;-&quot;?"/>
    <numFmt numFmtId="193" formatCode="&quot;$&quot;#,##0.0_);\(&quot;$&quot;#,##0.0\);&quot;$&quot;&quot;-&quot;?"/>
    <numFmt numFmtId="194" formatCode="&quot;$&quot;#,##0.00_);\(&quot;$&quot;#,##0.00\);&quot;$&quot;&quot;-&quot;?"/>
    <numFmt numFmtId="195" formatCode="#,##0.00%_);\(#,##0.00%\)"/>
    <numFmt numFmtId="196" formatCode="#,##0.00\x_);\(#,##0.00\x\);&quot;-&quot;?"/>
    <numFmt numFmtId="197" formatCode="yyyy\A"/>
    <numFmt numFmtId="198" formatCode="yyyy\P"/>
    <numFmt numFmtId="199" formatCode="#,##0.0_);\(#,##0.0\);@_)"/>
    <numFmt numFmtId="200" formatCode="&quot;$&quot;#,##0.0_);\(&quot;$&quot;#,##0.0\);@_)"/>
    <numFmt numFmtId="201" formatCode="#,##0.0_);\(#,##0.0\);\-_);@_)"/>
    <numFmt numFmtId="202" formatCode="0.0%_);\(0.0%\);@_)"/>
    <numFmt numFmtId="203" formatCode="&quot;$&quot;#,##0.00_);\(&quot;$&quot;#,##0.00\);@_)"/>
  </numFmts>
  <fonts count="37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color indexed="12"/>
      <name val="Arial"/>
      <family val="2"/>
    </font>
    <font>
      <i/>
      <sz val="8"/>
      <name val="Arial"/>
      <family val="2"/>
    </font>
    <font>
      <sz val="8"/>
      <color indexed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sz val="9"/>
      <color indexed="12"/>
      <name val="Trebuchet MS"/>
      <family val="2"/>
    </font>
    <font>
      <sz val="9"/>
      <name val="Trebuchet MS"/>
      <family val="2"/>
    </font>
    <font>
      <sz val="10"/>
      <color indexed="12"/>
      <name val="Times New Roman"/>
      <family val="1"/>
    </font>
    <font>
      <sz val="10"/>
      <name val="Trebuchet MS"/>
      <family val="2"/>
    </font>
    <font>
      <i/>
      <sz val="11"/>
      <name val="Calibri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indexed="9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8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indexed="12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indexed="8"/>
      <name val="Calibri"/>
      <family val="2"/>
      <scheme val="minor"/>
    </font>
    <font>
      <i/>
      <sz val="11"/>
      <color rgb="FF0000FF"/>
      <name val="Calibri"/>
      <family val="2"/>
      <scheme val="minor"/>
    </font>
    <font>
      <i/>
      <sz val="11"/>
      <color rgb="FF00800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5"/>
      <color theme="1"/>
      <name val="Calibri"/>
      <family val="2"/>
      <scheme val="minor"/>
    </font>
    <font>
      <i/>
      <sz val="11"/>
      <color theme="3"/>
      <name val="Calibri"/>
      <family val="2"/>
      <scheme val="minor"/>
    </font>
    <font>
      <sz val="1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40">
    <xf numFmtId="0" fontId="0" fillId="0" borderId="0"/>
    <xf numFmtId="176" fontId="5" fillId="0" borderId="0" applyFill="0" applyBorder="0" applyAlignment="0" applyProtection="0">
      <alignment horizontal="right"/>
    </xf>
    <xf numFmtId="190" fontId="12" fillId="0" borderId="0" applyFont="0" applyFill="0" applyBorder="0" applyAlignment="0" applyProtection="0">
      <alignment horizontal="right"/>
    </xf>
    <xf numFmtId="166" fontId="12" fillId="2" borderId="0" applyFont="0" applyFill="0" applyBorder="0" applyAlignment="0" applyProtection="0"/>
    <xf numFmtId="191" fontId="12" fillId="0" borderId="0" applyFont="0" applyFill="0" applyBorder="0" applyAlignment="0" applyProtection="0"/>
    <xf numFmtId="192" fontId="12" fillId="0" borderId="0" applyFont="0" applyFill="0" applyBorder="0" applyAlignment="0" applyProtection="0">
      <alignment horizontal="left" indent="1"/>
    </xf>
    <xf numFmtId="177" fontId="2" fillId="0" borderId="1" applyFont="0" applyFill="0" applyBorder="0" applyAlignment="0" applyProtection="0"/>
    <xf numFmtId="168" fontId="12" fillId="0" borderId="0" applyFont="0" applyFill="0" applyBorder="0" applyAlignment="0" applyProtection="0"/>
    <xf numFmtId="193" fontId="12" fillId="0" borderId="0" applyFont="0" applyFill="0" applyBorder="0" applyAlignment="0" applyProtection="0"/>
    <xf numFmtId="194" fontId="12" fillId="2" borderId="0" applyFont="0" applyFill="0" applyBorder="0" applyAlignment="0" applyProtection="0"/>
    <xf numFmtId="165" fontId="4" fillId="0" borderId="0" applyFont="0" applyFill="0" applyBorder="0" applyAlignment="0" applyProtection="0"/>
    <xf numFmtId="15" fontId="14" fillId="0" borderId="0" applyFont="0" applyFill="0" applyBorder="0" applyAlignment="0" applyProtection="0"/>
    <xf numFmtId="171" fontId="13" fillId="0" borderId="0" applyFont="0" applyFill="0" applyBorder="0" applyAlignment="0" applyProtection="0">
      <alignment horizontal="left"/>
    </xf>
    <xf numFmtId="17" fontId="11" fillId="0" borderId="0" applyFont="0" applyFill="0" applyBorder="0" applyAlignment="0" applyProtection="0">
      <alignment horizontal="right"/>
    </xf>
    <xf numFmtId="178" fontId="5" fillId="0" borderId="0" applyFont="0" applyFill="0" applyBorder="0" applyAlignment="0" applyProtection="0"/>
    <xf numFmtId="179" fontId="2" fillId="0" borderId="0" applyFont="0" applyFill="0" applyBorder="0" applyAlignment="0" applyProtection="0"/>
    <xf numFmtId="180" fontId="6" fillId="3" borderId="2" applyFont="0" applyFill="0" applyBorder="0" applyAlignment="0" applyProtection="0"/>
    <xf numFmtId="181" fontId="5" fillId="0" borderId="3" applyFont="0" applyFill="0" applyBorder="0" applyAlignment="0" applyProtection="0"/>
    <xf numFmtId="14" fontId="5" fillId="0" borderId="3" applyFont="0" applyFill="0" applyBorder="0" applyAlignment="0" applyProtection="0"/>
    <xf numFmtId="182" fontId="2" fillId="0" borderId="0" applyFont="0" applyFill="0" applyBorder="0" applyAlignment="0" applyProtection="0">
      <alignment horizontal="right"/>
    </xf>
    <xf numFmtId="37" fontId="6" fillId="4" borderId="0" applyFont="0" applyFill="0" applyBorder="0" applyAlignment="0" applyProtection="0"/>
    <xf numFmtId="183" fontId="4" fillId="0" borderId="0" applyFont="0" applyFill="0" applyBorder="0" applyAlignment="0"/>
    <xf numFmtId="173" fontId="2" fillId="0" borderId="0" applyFont="0" applyFill="0" applyBorder="0" applyAlignment="0"/>
    <xf numFmtId="168" fontId="2" fillId="0" borderId="0" applyFont="0" applyFill="0" applyBorder="0" applyAlignment="0"/>
    <xf numFmtId="0" fontId="4" fillId="0" borderId="0"/>
    <xf numFmtId="0" fontId="9" fillId="0" borderId="0"/>
    <xf numFmtId="0" fontId="3" fillId="0" borderId="0"/>
    <xf numFmtId="184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175" fontId="9" fillId="0" borderId="0" applyFont="0" applyFill="0" applyBorder="0" applyAlignment="0" applyProtection="0"/>
    <xf numFmtId="170" fontId="10" fillId="0" borderId="0" applyFont="0" applyFill="0" applyBorder="0" applyAlignment="0" applyProtection="0">
      <alignment horizontal="right"/>
    </xf>
    <xf numFmtId="195" fontId="9" fillId="0" borderId="0" applyFont="0" applyFill="0" applyBorder="0" applyAlignment="0" applyProtection="0">
      <alignment horizontal="right"/>
    </xf>
    <xf numFmtId="185" fontId="7" fillId="3" borderId="4" applyFill="0" applyBorder="0" applyAlignment="0" applyProtection="0">
      <alignment horizontal="right"/>
      <protection locked="0"/>
    </xf>
    <xf numFmtId="186" fontId="7" fillId="5" borderId="0" applyFill="0" applyBorder="0" applyAlignment="0" applyProtection="0">
      <protection hidden="1"/>
    </xf>
    <xf numFmtId="9" fontId="4" fillId="0" borderId="0" applyFont="0" applyFill="0" applyBorder="0" applyAlignment="0" applyProtection="0"/>
    <xf numFmtId="183" fontId="8" fillId="0" borderId="0" applyNumberFormat="0" applyFill="0" applyBorder="0" applyAlignment="0" applyProtection="0">
      <alignment horizontal="left"/>
    </xf>
    <xf numFmtId="187" fontId="2" fillId="0" borderId="0" applyFont="0" applyFill="0" applyBorder="0" applyAlignment="0" applyProtection="0">
      <alignment horizontal="right"/>
    </xf>
    <xf numFmtId="172" fontId="12" fillId="0" borderId="0" applyFont="0" applyFill="0" applyBorder="0" applyAlignment="0" applyProtection="0"/>
    <xf numFmtId="196" fontId="12" fillId="0" borderId="0" applyFont="0" applyFill="0" applyBorder="0" applyAlignment="0" applyProtection="0">
      <alignment horizontal="right"/>
    </xf>
    <xf numFmtId="188" fontId="2" fillId="0" borderId="0" applyFont="0" applyFill="0" applyBorder="0" applyAlignment="0"/>
  </cellStyleXfs>
  <cellXfs count="107">
    <xf numFmtId="0" fontId="0" fillId="0" borderId="0" xfId="0"/>
    <xf numFmtId="0" fontId="18" fillId="6" borderId="5" xfId="0" applyFont="1" applyFill="1" applyBorder="1"/>
    <xf numFmtId="0" fontId="17" fillId="0" borderId="6" xfId="0" applyFont="1" applyBorder="1" applyAlignment="1">
      <alignment horizontal="centerContinuous"/>
    </xf>
    <xf numFmtId="0" fontId="17" fillId="0" borderId="7" xfId="0" applyFont="1" applyBorder="1" applyAlignment="1">
      <alignment horizontal="centerContinuous"/>
    </xf>
    <xf numFmtId="0" fontId="17" fillId="7" borderId="8" xfId="0" applyFont="1" applyFill="1" applyBorder="1" applyAlignment="1">
      <alignment horizontal="centerContinuous"/>
    </xf>
    <xf numFmtId="0" fontId="17" fillId="7" borderId="9" xfId="0" applyFont="1" applyFill="1" applyBorder="1" applyAlignment="1">
      <alignment horizontal="centerContinuous"/>
    </xf>
    <xf numFmtId="0" fontId="17" fillId="7" borderId="10" xfId="0" applyFont="1" applyFill="1" applyBorder="1" applyAlignment="1">
      <alignment horizontal="centerContinuous"/>
    </xf>
    <xf numFmtId="0" fontId="17" fillId="0" borderId="0" xfId="0" applyFont="1" applyAlignment="1">
      <alignment horizontal="centerContinuous"/>
    </xf>
    <xf numFmtId="197" fontId="17" fillId="0" borderId="11" xfId="0" applyNumberFormat="1" applyFont="1" applyBorder="1"/>
    <xf numFmtId="198" fontId="17" fillId="0" borderId="11" xfId="0" applyNumberFormat="1" applyFont="1" applyBorder="1"/>
    <xf numFmtId="174" fontId="19" fillId="8" borderId="0" xfId="0" applyNumberFormat="1" applyFont="1" applyFill="1"/>
    <xf numFmtId="199" fontId="19" fillId="8" borderId="0" xfId="0" applyNumberFormat="1" applyFont="1" applyFill="1"/>
    <xf numFmtId="0" fontId="20" fillId="0" borderId="0" xfId="0" applyFont="1"/>
    <xf numFmtId="0" fontId="21" fillId="0" borderId="8" xfId="0" applyFont="1" applyBorder="1"/>
    <xf numFmtId="0" fontId="21" fillId="0" borderId="0" xfId="0" applyFont="1"/>
    <xf numFmtId="0" fontId="22" fillId="0" borderId="0" xfId="24" applyFont="1"/>
    <xf numFmtId="0" fontId="22" fillId="0" borderId="3" xfId="24" applyFont="1" applyBorder="1"/>
    <xf numFmtId="0" fontId="23" fillId="0" borderId="0" xfId="0" applyFont="1"/>
    <xf numFmtId="0" fontId="20" fillId="0" borderId="0" xfId="0" applyFont="1" applyAlignment="1">
      <alignment horizontal="left"/>
    </xf>
    <xf numFmtId="200" fontId="19" fillId="8" borderId="0" xfId="0" applyNumberFormat="1" applyFont="1" applyFill="1"/>
    <xf numFmtId="202" fontId="24" fillId="8" borderId="0" xfId="0" applyNumberFormat="1" applyFont="1" applyFill="1"/>
    <xf numFmtId="199" fontId="20" fillId="0" borderId="0" xfId="0" applyNumberFormat="1" applyFont="1"/>
    <xf numFmtId="200" fontId="20" fillId="0" borderId="0" xfId="0" applyNumberFormat="1" applyFont="1"/>
    <xf numFmtId="0" fontId="20" fillId="0" borderId="12" xfId="0" applyFont="1" applyBorder="1"/>
    <xf numFmtId="0" fontId="20" fillId="0" borderId="0" xfId="0" applyFont="1" applyAlignment="1">
      <alignment readingOrder="1"/>
    </xf>
    <xf numFmtId="0" fontId="25" fillId="0" borderId="0" xfId="0" applyFont="1" applyAlignment="1">
      <alignment horizontal="left" vertical="top" readingOrder="1"/>
    </xf>
    <xf numFmtId="15" fontId="25" fillId="0" borderId="0" xfId="0" applyNumberFormat="1" applyFont="1" applyAlignment="1">
      <alignment horizontal="right" vertical="top" readingOrder="1"/>
    </xf>
    <xf numFmtId="0" fontId="20" fillId="0" borderId="0" xfId="24" applyFont="1"/>
    <xf numFmtId="0" fontId="20" fillId="0" borderId="3" xfId="24" applyFont="1" applyBorder="1"/>
    <xf numFmtId="167" fontId="20" fillId="0" borderId="0" xfId="24" applyNumberFormat="1" applyFont="1"/>
    <xf numFmtId="167" fontId="20" fillId="0" borderId="0" xfId="24" applyNumberFormat="1" applyFont="1" applyAlignment="1">
      <alignment horizontal="left"/>
    </xf>
    <xf numFmtId="0" fontId="20" fillId="0" borderId="0" xfId="24" applyFont="1" applyAlignment="1">
      <alignment horizontal="left" indent="1"/>
    </xf>
    <xf numFmtId="0" fontId="22" fillId="0" borderId="0" xfId="24" applyFont="1" applyAlignment="1">
      <alignment horizontal="left" indent="1"/>
    </xf>
    <xf numFmtId="0" fontId="20" fillId="0" borderId="0" xfId="0" applyFont="1" applyAlignment="1">
      <alignment horizontal="left" indent="1"/>
    </xf>
    <xf numFmtId="14" fontId="26" fillId="0" borderId="0" xfId="0" applyNumberFormat="1" applyFont="1" applyAlignment="1">
      <alignment horizontal="right" vertical="top" readingOrder="1"/>
    </xf>
    <xf numFmtId="200" fontId="20" fillId="0" borderId="0" xfId="24" applyNumberFormat="1" applyFont="1"/>
    <xf numFmtId="169" fontId="23" fillId="0" borderId="0" xfId="24" applyNumberFormat="1" applyFont="1"/>
    <xf numFmtId="200" fontId="22" fillId="0" borderId="12" xfId="24" applyNumberFormat="1" applyFont="1" applyBorder="1"/>
    <xf numFmtId="167" fontId="20" fillId="0" borderId="0" xfId="24" applyNumberFormat="1" applyFont="1" applyAlignment="1">
      <alignment horizontal="right" indent="1"/>
    </xf>
    <xf numFmtId="169" fontId="27" fillId="4" borderId="0" xfId="24" applyNumberFormat="1" applyFont="1" applyFill="1" applyAlignment="1">
      <alignment horizontal="right" indent="1"/>
    </xf>
    <xf numFmtId="0" fontId="16" fillId="0" borderId="0" xfId="0" applyFont="1"/>
    <xf numFmtId="167" fontId="16" fillId="0" borderId="0" xfId="24" applyNumberFormat="1" applyFont="1" applyAlignment="1">
      <alignment horizontal="right" indent="1"/>
    </xf>
    <xf numFmtId="189" fontId="20" fillId="0" borderId="0" xfId="24" applyNumberFormat="1" applyFont="1"/>
    <xf numFmtId="202" fontId="20" fillId="0" borderId="0" xfId="24" applyNumberFormat="1" applyFont="1"/>
    <xf numFmtId="172" fontId="20" fillId="0" borderId="0" xfId="24" applyNumberFormat="1" applyFont="1" applyAlignment="1">
      <alignment horizontal="right" indent="1"/>
    </xf>
    <xf numFmtId="167" fontId="26" fillId="0" borderId="0" xfId="24" applyNumberFormat="1" applyFont="1" applyAlignment="1">
      <alignment horizontal="right" indent="1"/>
    </xf>
    <xf numFmtId="200" fontId="20" fillId="0" borderId="0" xfId="24" applyNumberFormat="1" applyFont="1" applyAlignment="1">
      <alignment horizontal="right" indent="1"/>
    </xf>
    <xf numFmtId="0" fontId="22" fillId="0" borderId="0" xfId="0" applyFont="1" applyAlignment="1">
      <alignment horizontal="left" indent="1"/>
    </xf>
    <xf numFmtId="200" fontId="22" fillId="0" borderId="12" xfId="24" applyNumberFormat="1" applyFont="1" applyBorder="1" applyAlignment="1">
      <alignment horizontal="right" indent="1"/>
    </xf>
    <xf numFmtId="164" fontId="22" fillId="0" borderId="13" xfId="24" applyNumberFormat="1" applyFont="1" applyBorder="1" applyAlignment="1">
      <alignment horizontal="right" indent="1"/>
    </xf>
    <xf numFmtId="0" fontId="28" fillId="0" borderId="0" xfId="0" applyFont="1"/>
    <xf numFmtId="0" fontId="0" fillId="0" borderId="12" xfId="0" applyBorder="1"/>
    <xf numFmtId="169" fontId="27" fillId="0" borderId="0" xfId="24" applyNumberFormat="1" applyFont="1" applyAlignment="1">
      <alignment horizontal="right" indent="1"/>
    </xf>
    <xf numFmtId="0" fontId="20" fillId="0" borderId="14" xfId="24" applyFont="1" applyBorder="1"/>
    <xf numFmtId="0" fontId="20" fillId="0" borderId="11" xfId="0" applyFont="1" applyBorder="1"/>
    <xf numFmtId="199" fontId="20" fillId="0" borderId="0" xfId="24" applyNumberFormat="1" applyFont="1" applyAlignment="1">
      <alignment horizontal="right" indent="1"/>
    </xf>
    <xf numFmtId="200" fontId="22" fillId="0" borderId="0" xfId="24" applyNumberFormat="1" applyFont="1" applyAlignment="1">
      <alignment horizontal="right" indent="1"/>
    </xf>
    <xf numFmtId="0" fontId="20" fillId="0" borderId="15" xfId="0" applyFont="1" applyBorder="1" applyAlignment="1">
      <alignment horizontal="left" indent="1"/>
    </xf>
    <xf numFmtId="164" fontId="22" fillId="0" borderId="0" xfId="24" applyNumberFormat="1" applyFont="1" applyAlignment="1">
      <alignment horizontal="right" indent="1"/>
    </xf>
    <xf numFmtId="14" fontId="19" fillId="8" borderId="0" xfId="0" applyNumberFormat="1" applyFont="1" applyFill="1" applyAlignment="1">
      <alignment horizontal="right" vertical="top" readingOrder="1"/>
    </xf>
    <xf numFmtId="199" fontId="19" fillId="8" borderId="0" xfId="0" applyNumberFormat="1" applyFont="1" applyFill="1" applyAlignment="1">
      <alignment horizontal="right" vertical="top" readingOrder="1"/>
    </xf>
    <xf numFmtId="203" fontId="19" fillId="8" borderId="0" xfId="0" applyNumberFormat="1" applyFont="1" applyFill="1" applyAlignment="1">
      <alignment horizontal="right" vertical="top" readingOrder="1"/>
    </xf>
    <xf numFmtId="197" fontId="17" fillId="0" borderId="12" xfId="0" applyNumberFormat="1" applyFont="1" applyBorder="1"/>
    <xf numFmtId="0" fontId="17" fillId="0" borderId="15" xfId="0" applyFont="1" applyBorder="1" applyAlignment="1">
      <alignment horizontal="centerContinuous"/>
    </xf>
    <xf numFmtId="0" fontId="17" fillId="0" borderId="16" xfId="0" applyFont="1" applyBorder="1" applyAlignment="1">
      <alignment horizontal="centerContinuous"/>
    </xf>
    <xf numFmtId="200" fontId="29" fillId="0" borderId="0" xfId="24" applyNumberFormat="1" applyFont="1"/>
    <xf numFmtId="201" fontId="29" fillId="0" borderId="0" xfId="24" applyNumberFormat="1" applyFont="1"/>
    <xf numFmtId="167" fontId="29" fillId="0" borderId="0" xfId="24" applyNumberFormat="1" applyFont="1"/>
    <xf numFmtId="199" fontId="29" fillId="0" borderId="0" xfId="0" applyNumberFormat="1" applyFont="1"/>
    <xf numFmtId="199" fontId="20" fillId="0" borderId="0" xfId="0" applyNumberFormat="1" applyFont="1" applyAlignment="1">
      <alignment readingOrder="1"/>
    </xf>
    <xf numFmtId="200" fontId="20" fillId="0" borderId="0" xfId="0" applyNumberFormat="1" applyFont="1" applyAlignment="1">
      <alignment readingOrder="1"/>
    </xf>
    <xf numFmtId="169" fontId="29" fillId="0" borderId="0" xfId="24" applyNumberFormat="1" applyFont="1"/>
    <xf numFmtId="203" fontId="29" fillId="0" borderId="0" xfId="24" applyNumberFormat="1" applyFont="1"/>
    <xf numFmtId="199" fontId="29" fillId="0" borderId="0" xfId="24" applyNumberFormat="1" applyFont="1"/>
    <xf numFmtId="202" fontId="29" fillId="0" borderId="0" xfId="24" applyNumberFormat="1" applyFont="1"/>
    <xf numFmtId="169" fontId="29" fillId="0" borderId="0" xfId="24" applyNumberFormat="1" applyFont="1" applyAlignment="1">
      <alignment horizontal="right" indent="1"/>
    </xf>
    <xf numFmtId="201" fontId="19" fillId="8" borderId="0" xfId="0" applyNumberFormat="1" applyFont="1" applyFill="1"/>
    <xf numFmtId="0" fontId="30" fillId="0" borderId="0" xfId="0" applyFont="1" applyAlignment="1">
      <alignment horizontal="left" vertical="top" readingOrder="1"/>
    </xf>
    <xf numFmtId="174" fontId="20" fillId="0" borderId="0" xfId="0" applyNumberFormat="1" applyFont="1" applyAlignment="1">
      <alignment readingOrder="1"/>
    </xf>
    <xf numFmtId="174" fontId="29" fillId="0" borderId="0" xfId="0" applyNumberFormat="1" applyFont="1"/>
    <xf numFmtId="200" fontId="29" fillId="0" borderId="0" xfId="0" applyNumberFormat="1" applyFont="1"/>
    <xf numFmtId="202" fontId="31" fillId="8" borderId="0" xfId="0" applyNumberFormat="1" applyFont="1" applyFill="1" applyAlignment="1">
      <alignment readingOrder="1"/>
    </xf>
    <xf numFmtId="0" fontId="23" fillId="0" borderId="0" xfId="0" applyFont="1" applyAlignment="1">
      <alignment horizontal="left"/>
    </xf>
    <xf numFmtId="15" fontId="30" fillId="0" borderId="0" xfId="0" applyNumberFormat="1" applyFont="1" applyAlignment="1">
      <alignment horizontal="right" vertical="top" readingOrder="1"/>
    </xf>
    <xf numFmtId="14" fontId="32" fillId="0" borderId="0" xfId="0" applyNumberFormat="1" applyFont="1" applyAlignment="1">
      <alignment horizontal="right" vertical="top" readingOrder="1"/>
    </xf>
    <xf numFmtId="0" fontId="23" fillId="0" borderId="0" xfId="0" applyFont="1" applyAlignment="1">
      <alignment readingOrder="1"/>
    </xf>
    <xf numFmtId="201" fontId="20" fillId="0" borderId="0" xfId="0" applyNumberFormat="1" applyFont="1" applyAlignment="1">
      <alignment readingOrder="1"/>
    </xf>
    <xf numFmtId="202" fontId="22" fillId="0" borderId="0" xfId="0" applyNumberFormat="1" applyFont="1"/>
    <xf numFmtId="200" fontId="22" fillId="0" borderId="0" xfId="0" applyNumberFormat="1" applyFont="1"/>
    <xf numFmtId="200" fontId="22" fillId="0" borderId="0" xfId="24" applyNumberFormat="1" applyFont="1"/>
    <xf numFmtId="0" fontId="33" fillId="0" borderId="0" xfId="24" applyFont="1"/>
    <xf numFmtId="0" fontId="22" fillId="0" borderId="0" xfId="24" quotePrefix="1" applyFont="1"/>
    <xf numFmtId="0" fontId="22" fillId="0" borderId="0" xfId="0" applyFont="1"/>
    <xf numFmtId="169" fontId="22" fillId="0" borderId="0" xfId="24" applyNumberFormat="1" applyFont="1"/>
    <xf numFmtId="0" fontId="34" fillId="0" borderId="8" xfId="0" applyFont="1" applyBorder="1"/>
    <xf numFmtId="10" fontId="26" fillId="0" borderId="0" xfId="0" applyNumberFormat="1" applyFont="1" applyAlignment="1">
      <alignment horizontal="right" vertical="top" readingOrder="1"/>
    </xf>
    <xf numFmtId="10" fontId="32" fillId="0" borderId="0" xfId="0" applyNumberFormat="1" applyFont="1" applyAlignment="1">
      <alignment horizontal="right" vertical="top" readingOrder="1"/>
    </xf>
    <xf numFmtId="10" fontId="20" fillId="0" borderId="0" xfId="0" applyNumberFormat="1" applyFont="1" applyAlignment="1">
      <alignment readingOrder="1"/>
    </xf>
    <xf numFmtId="10" fontId="35" fillId="9" borderId="0" xfId="0" applyNumberFormat="1" applyFont="1" applyFill="1" applyAlignment="1">
      <alignment horizontal="right" readingOrder="1"/>
    </xf>
    <xf numFmtId="10" fontId="25" fillId="0" borderId="0" xfId="0" applyNumberFormat="1" applyFont="1" applyAlignment="1">
      <alignment horizontal="right" vertical="top" readingOrder="1"/>
    </xf>
    <xf numFmtId="10" fontId="3" fillId="0" borderId="0" xfId="0" applyNumberFormat="1" applyFont="1"/>
    <xf numFmtId="10" fontId="23" fillId="0" borderId="0" xfId="0" applyNumberFormat="1" applyFont="1" applyAlignment="1">
      <alignment readingOrder="1"/>
    </xf>
    <xf numFmtId="9" fontId="20" fillId="0" borderId="0" xfId="28" applyFont="1"/>
    <xf numFmtId="0" fontId="36" fillId="0" borderId="0" xfId="0" applyFont="1"/>
    <xf numFmtId="199" fontId="36" fillId="0" borderId="0" xfId="0" applyNumberFormat="1" applyFont="1"/>
    <xf numFmtId="200" fontId="36" fillId="0" borderId="0" xfId="24" applyNumberFormat="1" applyFont="1" applyAlignment="1">
      <alignment horizontal="right" indent="1"/>
    </xf>
    <xf numFmtId="0" fontId="22" fillId="0" borderId="0" xfId="24" applyFont="1" applyAlignment="1">
      <alignment wrapText="1"/>
    </xf>
  </cellXfs>
  <cellStyles count="40">
    <cellStyle name="10Q" xfId="1" xr:uid="{9356CD4B-C2BB-4BD2-A0B6-C52D8F3BB261}"/>
    <cellStyle name="bp" xfId="2" xr:uid="{223C2B11-1BBB-482E-8863-DB90D3DD379A}"/>
    <cellStyle name="Comma (0)" xfId="3" xr:uid="{BB45A5E7-7F1C-4F6B-ABAD-CD4721FFDC8E}"/>
    <cellStyle name="Comma (1)" xfId="4" xr:uid="{7A0C14AF-15E5-489F-AD5E-4DC15BF7D818}"/>
    <cellStyle name="Comma (2)" xfId="5" xr:uid="{649B8551-7AFF-46CA-8FE7-55B816614A27}"/>
    <cellStyle name="Currency--" xfId="6" xr:uid="{03C8C7FF-ECC1-49C8-A946-D1F49710AFF8}"/>
    <cellStyle name="Currency (0)" xfId="7" xr:uid="{315B3CF1-1CD4-4EAC-B54F-2BB3207080CA}"/>
    <cellStyle name="Currency (1)" xfId="8" xr:uid="{A5D44377-A03F-4EEE-8C6E-38E84B922E06}"/>
    <cellStyle name="Currency (2)" xfId="9" xr:uid="{DD2B05F5-7087-41B3-B79C-3614EC27CB6D}"/>
    <cellStyle name="Currency 2" xfId="10" xr:uid="{38C1975D-D848-47B2-BFCC-8791F44E7917}"/>
    <cellStyle name="Date (dd-mmm-yy)" xfId="11" xr:uid="{DE6CC19B-76B8-47BD-88BF-9BC33611A65A}"/>
    <cellStyle name="Date (mm-dd-yy)" xfId="12" xr:uid="{50237528-E573-4EFD-9F3D-50D4E09A83E1}"/>
    <cellStyle name="Date (mmm-yy)" xfId="13" xr:uid="{9FEFCEC1-7318-4B90-A168-AA5EC1AD522B}"/>
    <cellStyle name="Date [mm-dd-yy]" xfId="14" xr:uid="{95C302F1-AF11-4D51-BF0B-94791679A9FD}"/>
    <cellStyle name="Date [mm-dd-yyyy]" xfId="15" xr:uid="{EA33F611-A7A6-483F-875A-247F7A3ABEF6}"/>
    <cellStyle name="Date [mm-d-yyyy]" xfId="16" xr:uid="{60988351-C7EE-4BFB-90B4-AA272911DF49}"/>
    <cellStyle name="Date [mmm-yyyy]" xfId="17" xr:uid="{7E6F5589-8E81-4E58-8B71-9AE10843DB01}"/>
    <cellStyle name="m/d/yy" xfId="18" xr:uid="{7D2E4A84-B52C-424B-AA53-C3978F2B49A7}"/>
    <cellStyle name="Normal" xfId="0" builtinId="0"/>
    <cellStyle name="Normal--" xfId="19" xr:uid="{7CA39B85-DADA-4EB5-A1A2-5C024DB41C4C}"/>
    <cellStyle name="Normal [0]" xfId="20" xr:uid="{95EC907A-39A7-4BD1-B8FC-64585973C3E2}"/>
    <cellStyle name="Normal [1]" xfId="21" xr:uid="{54C991E2-B86B-4C88-9462-FCA262659486}"/>
    <cellStyle name="Normal [3]" xfId="22" xr:uid="{49879573-6387-4ED8-9645-C01CCFBABC50}"/>
    <cellStyle name="Normal [3] 2" xfId="23" xr:uid="{89AB6CAC-78F6-4786-9365-5EF9B0C7C543}"/>
    <cellStyle name="Normal 2" xfId="24" xr:uid="{B2168358-70E1-4B9A-8582-16A679A5C730}"/>
    <cellStyle name="Normal 3" xfId="25" xr:uid="{D04DA0F1-6BE3-4A85-8EC4-B1ADADE7E156}"/>
    <cellStyle name="Normal 4" xfId="26" xr:uid="{59DD918F-D2FC-4873-8EC7-6AFFD6C91811}"/>
    <cellStyle name="Normalx" xfId="27" xr:uid="{00DB1DB3-E9F7-4C7A-86CE-D732AD03A1E5}"/>
    <cellStyle name="Percent" xfId="28" builtinId="5"/>
    <cellStyle name="Percent (0)" xfId="29" xr:uid="{DC45D5B6-0BA0-4F43-BEBE-96DDF3F1B3AD}"/>
    <cellStyle name="Percent (1)" xfId="30" xr:uid="{724D992E-1405-4956-97E1-4F2E543909D2}"/>
    <cellStyle name="Percent (2)" xfId="31" xr:uid="{6FB978B5-843C-4C71-9EA9-9B857F3F3872}"/>
    <cellStyle name="Percent [1]" xfId="32" xr:uid="{0CA065D1-BC14-4C9D-99D5-C90992DCA38F}"/>
    <cellStyle name="Percent [2]" xfId="33" xr:uid="{6D84E21C-425A-4871-B31F-EC22528461B8}"/>
    <cellStyle name="Percent 2" xfId="34" xr:uid="{42B259A9-6FAC-4CE9-9AB3-D9229D9F77F0}"/>
    <cellStyle name="Red font" xfId="35" xr:uid="{87E6A523-2791-4E23-AC97-7278022C75FD}"/>
    <cellStyle name="Times" xfId="36" xr:uid="{5CD7E5BF-8295-45A2-9437-C7C03F395E7B}"/>
    <cellStyle name="x (1)" xfId="37" xr:uid="{AD5A2293-2430-47BF-A486-1C6E63B743DC}"/>
    <cellStyle name="x (2)" xfId="38" xr:uid="{3F916350-784B-49A8-9F0C-7878DC2E5280}"/>
    <cellStyle name="Years" xfId="39" xr:uid="{C703BFAB-6E89-4F51-9493-F956E2F4A1A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D5F86FD-A235-49A0-A68A-608A12D38242}">
  <we:reference id="wa200009152" version="1.0.0.4" store="en-US" storeType="OMEX"/>
  <we:alternateReferences>
    <we:reference id="wa200009152" version="1.0.0.4" store="wa200009152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69A6-B05A-4971-9FC8-36FB7E70A430}">
  <sheetPr codeName="Sheet1"/>
  <dimension ref="A1:J99"/>
  <sheetViews>
    <sheetView tabSelected="1" zoomScale="85" zoomScaleNormal="85" workbookViewId="0">
      <selection activeCell="B99" sqref="B99"/>
    </sheetView>
  </sheetViews>
  <sheetFormatPr defaultColWidth="8.85546875" defaultRowHeight="12.75" x14ac:dyDescent="0.2"/>
  <cols>
    <col min="1" max="1" width="1.7109375" customWidth="1"/>
    <col min="2" max="2" width="37.42578125" customWidth="1"/>
    <col min="3" max="3" width="12.28515625" customWidth="1"/>
    <col min="4" max="4" width="16.28515625" customWidth="1"/>
    <col min="5" max="10" width="12.28515625" customWidth="1"/>
  </cols>
  <sheetData>
    <row r="1" spans="1:10" s="14" customFormat="1" ht="23.25" x14ac:dyDescent="0.35">
      <c r="A1" s="94" t="s">
        <v>67</v>
      </c>
      <c r="B1" s="50" t="s">
        <v>71</v>
      </c>
      <c r="E1" s="13"/>
      <c r="F1" s="13"/>
      <c r="G1" s="13"/>
      <c r="H1" s="13"/>
      <c r="I1" s="13"/>
      <c r="J1" s="13"/>
    </row>
    <row r="2" spans="1:10" x14ac:dyDescent="0.2">
      <c r="B2" s="51"/>
      <c r="C2" s="51"/>
      <c r="D2" s="51"/>
    </row>
    <row r="3" spans="1:10" s="24" customFormat="1" ht="15" x14ac:dyDescent="0.25">
      <c r="B3" s="25" t="s">
        <v>42</v>
      </c>
      <c r="C3" s="26"/>
      <c r="D3" s="59">
        <v>41275</v>
      </c>
    </row>
    <row r="4" spans="1:10" s="24" customFormat="1" ht="15" x14ac:dyDescent="0.25">
      <c r="B4" s="25" t="s">
        <v>41</v>
      </c>
      <c r="C4" s="26"/>
      <c r="D4" s="61">
        <v>25</v>
      </c>
    </row>
    <row r="5" spans="1:10" s="24" customFormat="1" ht="15" x14ac:dyDescent="0.25">
      <c r="B5" s="25" t="s">
        <v>47</v>
      </c>
      <c r="C5" s="26"/>
      <c r="D5" s="60">
        <v>500</v>
      </c>
    </row>
    <row r="6" spans="1:10" s="24" customFormat="1" ht="15" x14ac:dyDescent="0.25">
      <c r="B6" s="25"/>
      <c r="C6" s="26"/>
      <c r="D6" s="34"/>
    </row>
    <row r="7" spans="1:10" s="24" customFormat="1" ht="19.5" thickBot="1" x14ac:dyDescent="0.35">
      <c r="B7" s="1" t="s">
        <v>48</v>
      </c>
      <c r="C7" s="1"/>
      <c r="D7" s="1"/>
      <c r="E7" s="1"/>
      <c r="F7" s="1"/>
      <c r="G7" s="1"/>
      <c r="H7" s="1"/>
      <c r="I7" s="1"/>
      <c r="J7" s="1"/>
    </row>
    <row r="8" spans="1:10" s="24" customFormat="1" ht="15" x14ac:dyDescent="0.25">
      <c r="B8" s="25"/>
      <c r="C8" s="63"/>
      <c r="D8" s="7"/>
      <c r="E8" s="64"/>
      <c r="F8" s="4" t="s">
        <v>0</v>
      </c>
      <c r="G8" s="4"/>
      <c r="H8" s="4"/>
      <c r="I8" s="5"/>
      <c r="J8" s="6"/>
    </row>
    <row r="9" spans="1:10" s="24" customFormat="1" ht="15" x14ac:dyDescent="0.25">
      <c r="B9" s="25"/>
      <c r="C9" s="8">
        <v>45283</v>
      </c>
      <c r="D9" s="8">
        <v>45657</v>
      </c>
      <c r="E9" s="8">
        <v>46022</v>
      </c>
      <c r="F9" s="9">
        <f>E9+365</f>
        <v>46387</v>
      </c>
      <c r="G9" s="9">
        <f>F9+365</f>
        <v>46752</v>
      </c>
      <c r="H9" s="9">
        <f>G9+365</f>
        <v>47117</v>
      </c>
      <c r="I9" s="9">
        <f>H9+365</f>
        <v>47482</v>
      </c>
      <c r="J9" s="9">
        <f>I9+365</f>
        <v>47847</v>
      </c>
    </row>
    <row r="10" spans="1:10" s="24" customFormat="1" ht="15" x14ac:dyDescent="0.25">
      <c r="B10" s="25" t="s">
        <v>49</v>
      </c>
      <c r="C10" s="10">
        <v>65322</v>
      </c>
      <c r="D10" s="10">
        <v>68187</v>
      </c>
      <c r="E10" s="19">
        <v>69916</v>
      </c>
      <c r="F10" s="70">
        <f>E10*(1+F11)</f>
        <v>72013.48</v>
      </c>
      <c r="G10" s="70">
        <f>F10*(1+G11)</f>
        <v>74173.884399999995</v>
      </c>
      <c r="H10" s="70">
        <f>G10*(1+H11)</f>
        <v>76399.100932000001</v>
      </c>
      <c r="I10" s="70">
        <f>H10*(1+I11)</f>
        <v>78691.073959960006</v>
      </c>
      <c r="J10" s="70">
        <f>I10*(1+J11)</f>
        <v>81051.806178758809</v>
      </c>
    </row>
    <row r="11" spans="1:10" s="24" customFormat="1" ht="15" x14ac:dyDescent="0.25">
      <c r="B11" s="77" t="s">
        <v>50</v>
      </c>
      <c r="C11" s="26"/>
      <c r="D11" s="98">
        <v>4.2999999999999997E-2</v>
      </c>
      <c r="E11" s="98">
        <v>2.5999999999999999E-2</v>
      </c>
      <c r="F11" s="98">
        <v>0.03</v>
      </c>
      <c r="G11" s="98">
        <v>0.03</v>
      </c>
      <c r="H11" s="98">
        <v>0.03</v>
      </c>
      <c r="I11" s="98">
        <v>0.03</v>
      </c>
      <c r="J11" s="98">
        <v>0.03</v>
      </c>
    </row>
    <row r="12" spans="1:10" s="24" customFormat="1" ht="15" x14ac:dyDescent="0.25">
      <c r="B12" s="25"/>
      <c r="C12" s="26"/>
      <c r="D12" s="34"/>
    </row>
    <row r="13" spans="1:10" s="24" customFormat="1" ht="15" x14ac:dyDescent="0.25">
      <c r="B13" s="25" t="s">
        <v>2</v>
      </c>
      <c r="C13" s="19">
        <v>3722</v>
      </c>
      <c r="D13" s="19">
        <v>3970</v>
      </c>
      <c r="E13" s="19">
        <v>4224</v>
      </c>
      <c r="F13" s="78">
        <f>F14*F10</f>
        <v>4320.8087999999998</v>
      </c>
      <c r="G13" s="78">
        <f>G14*G10</f>
        <v>4450.4330639999998</v>
      </c>
      <c r="H13" s="78">
        <f>H14*H10</f>
        <v>4583.9460559199997</v>
      </c>
      <c r="I13" s="78">
        <f>I14*I10</f>
        <v>4721.4644375976004</v>
      </c>
      <c r="J13" s="78">
        <f>J14*J10</f>
        <v>4863.1083707255284</v>
      </c>
    </row>
    <row r="14" spans="1:10" s="24" customFormat="1" ht="15" x14ac:dyDescent="0.25">
      <c r="B14" s="77" t="s">
        <v>51</v>
      </c>
      <c r="C14" s="99">
        <v>5.7000000000000002E-2</v>
      </c>
      <c r="D14" s="95">
        <v>5.8000000000000003E-2</v>
      </c>
      <c r="E14" s="97">
        <v>0.06</v>
      </c>
      <c r="F14" s="81">
        <v>0.06</v>
      </c>
      <c r="G14" s="81">
        <v>0.06</v>
      </c>
      <c r="H14" s="81">
        <v>0.06</v>
      </c>
      <c r="I14" s="81">
        <v>0.06</v>
      </c>
      <c r="J14" s="81">
        <v>0.06</v>
      </c>
    </row>
    <row r="15" spans="1:10" s="24" customFormat="1" ht="15" x14ac:dyDescent="0.25">
      <c r="B15" s="25"/>
      <c r="C15" s="26"/>
      <c r="D15" s="34"/>
    </row>
    <row r="16" spans="1:10" s="24" customFormat="1" ht="15" x14ac:dyDescent="0.25">
      <c r="B16" s="25" t="s">
        <v>9</v>
      </c>
      <c r="C16" s="11">
        <v>2595</v>
      </c>
      <c r="D16" s="11">
        <v>2819</v>
      </c>
      <c r="E16" s="11">
        <v>2999</v>
      </c>
      <c r="F16" s="78">
        <f>F17*F10</f>
        <v>3096.5796399999995</v>
      </c>
      <c r="G16" s="78">
        <f>G17*G10</f>
        <v>3189.4770291999994</v>
      </c>
      <c r="H16" s="78">
        <f>H17*H10</f>
        <v>3285.1613400759998</v>
      </c>
      <c r="I16" s="78">
        <f>I17*I10</f>
        <v>3383.7161802782798</v>
      </c>
      <c r="J16" s="78">
        <f>J17*J10</f>
        <v>3485.2276656866284</v>
      </c>
    </row>
    <row r="17" spans="2:10" s="24" customFormat="1" ht="15" x14ac:dyDescent="0.25">
      <c r="B17" s="77" t="s">
        <v>53</v>
      </c>
      <c r="C17" s="99">
        <v>0.04</v>
      </c>
      <c r="D17" s="95">
        <v>4.1000000000000002E-2</v>
      </c>
      <c r="E17" s="97">
        <v>4.2999999999999997E-2</v>
      </c>
      <c r="F17" s="97">
        <v>4.2999999999999997E-2</v>
      </c>
      <c r="G17" s="97">
        <v>4.2999999999999997E-2</v>
      </c>
      <c r="H17" s="97">
        <v>4.2999999999999997E-2</v>
      </c>
      <c r="I17" s="97">
        <v>4.2999999999999997E-2</v>
      </c>
      <c r="J17" s="97">
        <v>4.2999999999999997E-2</v>
      </c>
    </row>
    <row r="18" spans="2:10" s="24" customFormat="1" ht="15" x14ac:dyDescent="0.25">
      <c r="B18" s="25"/>
      <c r="C18" s="26"/>
      <c r="D18" s="34"/>
    </row>
    <row r="19" spans="2:10" s="24" customFormat="1" ht="15" x14ac:dyDescent="0.25">
      <c r="B19" s="25" t="s">
        <v>52</v>
      </c>
      <c r="C19" s="19">
        <v>1127</v>
      </c>
      <c r="D19" s="19">
        <v>1151</v>
      </c>
      <c r="E19" s="19">
        <v>1225</v>
      </c>
      <c r="F19" s="78">
        <f>F20*F10</f>
        <v>1296.2426399999999</v>
      </c>
      <c r="G19" s="78">
        <f>G20*G10</f>
        <v>1335.1299191999999</v>
      </c>
      <c r="H19" s="78">
        <f>H20*H10</f>
        <v>1375.183816776</v>
      </c>
      <c r="I19" s="78">
        <f>I20*I10</f>
        <v>1416.4393312792799</v>
      </c>
      <c r="J19" s="78">
        <f>J20*J10</f>
        <v>1458.9325112176584</v>
      </c>
    </row>
    <row r="20" spans="2:10" s="24" customFormat="1" ht="15" x14ac:dyDescent="0.25">
      <c r="B20" s="77" t="s">
        <v>54</v>
      </c>
      <c r="C20" s="99">
        <v>1.7000000000000001E-2</v>
      </c>
      <c r="D20" s="95">
        <v>1.7000000000000001E-2</v>
      </c>
      <c r="E20" s="97">
        <v>1.7999999999999999E-2</v>
      </c>
      <c r="F20" s="97">
        <v>1.7999999999999999E-2</v>
      </c>
      <c r="G20" s="97">
        <v>1.7999999999999999E-2</v>
      </c>
      <c r="H20" s="97">
        <v>1.7999999999999999E-2</v>
      </c>
      <c r="I20" s="97">
        <v>1.7999999999999999E-2</v>
      </c>
      <c r="J20" s="97">
        <v>1.7999999999999999E-2</v>
      </c>
    </row>
    <row r="21" spans="2:10" s="24" customFormat="1" ht="15" x14ac:dyDescent="0.25">
      <c r="B21" s="25"/>
      <c r="C21" s="26"/>
      <c r="D21" s="34"/>
    </row>
    <row r="22" spans="2:10" s="24" customFormat="1" ht="19.5" thickBot="1" x14ac:dyDescent="0.35">
      <c r="B22" s="1" t="s">
        <v>55</v>
      </c>
      <c r="C22" s="1"/>
      <c r="D22" s="1"/>
      <c r="E22" s="1"/>
      <c r="F22" s="1"/>
      <c r="G22" s="1"/>
      <c r="H22" s="1"/>
      <c r="I22" s="1"/>
      <c r="J22" s="1"/>
    </row>
    <row r="23" spans="2:10" s="24" customFormat="1" ht="15" x14ac:dyDescent="0.25">
      <c r="B23" s="25"/>
      <c r="C23" s="63"/>
      <c r="D23" s="7"/>
      <c r="E23" s="64"/>
      <c r="F23" s="4" t="s">
        <v>0</v>
      </c>
      <c r="G23" s="4"/>
      <c r="H23" s="4"/>
      <c r="I23" s="5"/>
      <c r="J23" s="6"/>
    </row>
    <row r="24" spans="2:10" s="24" customFormat="1" ht="15" x14ac:dyDescent="0.25">
      <c r="B24" s="25"/>
      <c r="C24" s="8">
        <v>45283</v>
      </c>
      <c r="D24" s="8">
        <v>45657</v>
      </c>
      <c r="E24" s="8">
        <v>46022</v>
      </c>
      <c r="F24" s="9">
        <f>E24+365</f>
        <v>46387</v>
      </c>
      <c r="G24" s="9">
        <f>F24+365</f>
        <v>46752</v>
      </c>
      <c r="H24" s="9">
        <f>G24+365</f>
        <v>47117</v>
      </c>
      <c r="I24" s="9">
        <f>H24+365</f>
        <v>47482</v>
      </c>
      <c r="J24" s="9">
        <f>I24+365</f>
        <v>47847</v>
      </c>
    </row>
    <row r="25" spans="2:10" s="24" customFormat="1" ht="15" x14ac:dyDescent="0.25">
      <c r="B25" s="25" t="s">
        <v>46</v>
      </c>
      <c r="C25" s="19">
        <v>2776</v>
      </c>
      <c r="D25" s="19">
        <v>2606</v>
      </c>
      <c r="E25" s="19">
        <v>2319</v>
      </c>
      <c r="F25" s="86">
        <f>E25*(1+F36)</f>
        <v>2319</v>
      </c>
      <c r="G25" s="86">
        <f>F25*(1+G36)</f>
        <v>2319</v>
      </c>
      <c r="H25" s="86">
        <f>G25*(1+H36)</f>
        <v>2319</v>
      </c>
      <c r="I25" s="86">
        <f>H25*(1+I36)</f>
        <v>2319</v>
      </c>
      <c r="J25" s="86">
        <f>I25*(1+J36)</f>
        <v>2319</v>
      </c>
    </row>
    <row r="26" spans="2:10" s="24" customFormat="1" ht="15" x14ac:dyDescent="0.25">
      <c r="B26" s="18" t="s">
        <v>57</v>
      </c>
      <c r="C26" s="76">
        <v>3200</v>
      </c>
      <c r="D26" s="76">
        <v>3350</v>
      </c>
      <c r="E26" s="76">
        <v>3500</v>
      </c>
      <c r="F26" s="86">
        <f t="shared" ref="F26:J28" si="0">E26*(1+F37)</f>
        <v>3605</v>
      </c>
      <c r="G26" s="86">
        <f>F26*(1+G37)</f>
        <v>3713.15</v>
      </c>
      <c r="H26" s="86">
        <f>G26*(1+H37)</f>
        <v>3824.5445</v>
      </c>
      <c r="I26" s="86">
        <f>H26*(1+I37)</f>
        <v>3939.280835</v>
      </c>
      <c r="J26" s="86">
        <f>I26*(1+J37)</f>
        <v>4057.45926005</v>
      </c>
    </row>
    <row r="27" spans="2:10" s="24" customFormat="1" ht="15" x14ac:dyDescent="0.25">
      <c r="B27" s="18" t="s">
        <v>4</v>
      </c>
      <c r="C27" s="11">
        <v>2800</v>
      </c>
      <c r="D27" s="11">
        <v>2950</v>
      </c>
      <c r="E27" s="11">
        <v>3100</v>
      </c>
      <c r="F27" s="86">
        <f t="shared" si="0"/>
        <v>3193</v>
      </c>
      <c r="G27" s="86">
        <f t="shared" si="0"/>
        <v>3288.79</v>
      </c>
      <c r="H27" s="86">
        <f t="shared" si="0"/>
        <v>3387.4537</v>
      </c>
      <c r="I27" s="86">
        <f t="shared" si="0"/>
        <v>3489.077311</v>
      </c>
      <c r="J27" s="86">
        <f t="shared" si="0"/>
        <v>3593.7496303299999</v>
      </c>
    </row>
    <row r="28" spans="2:10" s="24" customFormat="1" ht="15" x14ac:dyDescent="0.25">
      <c r="B28" s="18" t="s">
        <v>58</v>
      </c>
      <c r="C28" s="11">
        <v>200</v>
      </c>
      <c r="D28" s="11">
        <v>210</v>
      </c>
      <c r="E28" s="11">
        <v>220</v>
      </c>
      <c r="F28" s="86">
        <f t="shared" si="0"/>
        <v>226.6</v>
      </c>
      <c r="G28" s="86">
        <f t="shared" si="0"/>
        <v>233.398</v>
      </c>
      <c r="H28" s="86">
        <f t="shared" si="0"/>
        <v>240.39994000000002</v>
      </c>
      <c r="I28" s="86">
        <f t="shared" si="0"/>
        <v>247.61193820000003</v>
      </c>
      <c r="J28" s="86">
        <f t="shared" si="0"/>
        <v>255.04029634600002</v>
      </c>
    </row>
    <row r="29" spans="2:10" s="24" customFormat="1" ht="15" x14ac:dyDescent="0.25">
      <c r="B29" s="25"/>
      <c r="C29" s="26"/>
      <c r="D29" s="34"/>
    </row>
    <row r="30" spans="2:10" s="24" customFormat="1" ht="15" x14ac:dyDescent="0.25">
      <c r="B30" s="18" t="s">
        <v>59</v>
      </c>
      <c r="C30" s="19">
        <v>9891</v>
      </c>
      <c r="D30" s="19">
        <v>10121</v>
      </c>
      <c r="E30" s="19">
        <v>10248</v>
      </c>
      <c r="F30" s="70">
        <f t="shared" ref="F30:J31" si="1">E30*(1+F40)</f>
        <v>10555.44</v>
      </c>
      <c r="G30" s="70">
        <f t="shared" si="1"/>
        <v>10872.103200000001</v>
      </c>
      <c r="H30" s="70">
        <f t="shared" si="1"/>
        <v>11198.266296000002</v>
      </c>
      <c r="I30" s="70">
        <f t="shared" si="1"/>
        <v>11534.214284880001</v>
      </c>
      <c r="J30" s="70">
        <f t="shared" si="1"/>
        <v>11880.240713426401</v>
      </c>
    </row>
    <row r="31" spans="2:10" s="24" customFormat="1" ht="15" x14ac:dyDescent="0.25">
      <c r="B31" s="18" t="s">
        <v>60</v>
      </c>
      <c r="C31" s="11">
        <v>1000</v>
      </c>
      <c r="D31" s="11">
        <v>1050</v>
      </c>
      <c r="E31" s="11">
        <v>1100</v>
      </c>
      <c r="F31" s="69">
        <f t="shared" si="1"/>
        <v>1133</v>
      </c>
      <c r="G31" s="69">
        <f t="shared" si="1"/>
        <v>1166.99</v>
      </c>
      <c r="H31" s="69">
        <f t="shared" si="1"/>
        <v>1201.9997000000001</v>
      </c>
      <c r="I31" s="69">
        <f t="shared" si="1"/>
        <v>1238.0596910000002</v>
      </c>
      <c r="J31" s="69">
        <f t="shared" si="1"/>
        <v>1275.2014817300003</v>
      </c>
    </row>
    <row r="32" spans="2:10" s="24" customFormat="1" ht="15" x14ac:dyDescent="0.25">
      <c r="B32" s="25"/>
      <c r="C32" s="26"/>
      <c r="D32" s="34"/>
    </row>
    <row r="33" spans="2:10" s="24" customFormat="1" ht="15" x14ac:dyDescent="0.25">
      <c r="B33" s="25" t="s">
        <v>56</v>
      </c>
      <c r="C33" s="11">
        <v>10376</v>
      </c>
      <c r="D33" s="11">
        <v>10890</v>
      </c>
      <c r="E33" s="11">
        <v>10154</v>
      </c>
      <c r="F33" s="69">
        <f>E33</f>
        <v>10154</v>
      </c>
      <c r="G33" s="69">
        <f>F33</f>
        <v>10154</v>
      </c>
      <c r="H33" s="69">
        <f>G33</f>
        <v>10154</v>
      </c>
      <c r="I33" s="69">
        <f>H33</f>
        <v>10154</v>
      </c>
      <c r="J33" s="69">
        <f>I33</f>
        <v>10154</v>
      </c>
    </row>
    <row r="34" spans="2:10" s="24" customFormat="1" ht="15" x14ac:dyDescent="0.25">
      <c r="B34" s="25"/>
      <c r="C34" s="26"/>
      <c r="D34" s="34"/>
    </row>
    <row r="35" spans="2:10" s="24" customFormat="1" ht="15" x14ac:dyDescent="0.25">
      <c r="B35" s="25" t="s">
        <v>21</v>
      </c>
      <c r="C35" s="11">
        <v>1200</v>
      </c>
      <c r="D35" s="11">
        <v>1314</v>
      </c>
      <c r="E35" s="11">
        <v>1457</v>
      </c>
      <c r="F35" s="69">
        <f>E35*(1+F42)</f>
        <v>1439.5160000000001</v>
      </c>
      <c r="G35" s="69">
        <f>F35*(1+G42)</f>
        <v>1482.7014800000002</v>
      </c>
      <c r="H35" s="69">
        <f>G35*(1+H42)</f>
        <v>1527.1825244000001</v>
      </c>
      <c r="I35" s="69">
        <f>H35*(1+I42)</f>
        <v>1572.9980001320002</v>
      </c>
      <c r="J35" s="69">
        <f>I35*(1+J42)</f>
        <v>1620.1879401359604</v>
      </c>
    </row>
    <row r="36" spans="2:10" s="24" customFormat="1" ht="15" x14ac:dyDescent="0.25">
      <c r="B36" s="25"/>
      <c r="C36" s="26"/>
      <c r="D36" s="34"/>
    </row>
    <row r="37" spans="2:10" s="24" customFormat="1" ht="15" x14ac:dyDescent="0.25">
      <c r="B37" s="82" t="s">
        <v>61</v>
      </c>
      <c r="C37" s="83"/>
      <c r="D37" s="100">
        <v>4.7E-2</v>
      </c>
      <c r="E37" s="100">
        <v>4.4999999999999998E-2</v>
      </c>
      <c r="F37" s="81">
        <v>0.03</v>
      </c>
      <c r="G37" s="81">
        <v>0.03</v>
      </c>
      <c r="H37" s="81">
        <v>0.03</v>
      </c>
      <c r="I37" s="81">
        <v>0.03</v>
      </c>
      <c r="J37" s="81">
        <v>0.03</v>
      </c>
    </row>
    <row r="38" spans="2:10" s="24" customFormat="1" ht="15" x14ac:dyDescent="0.25">
      <c r="B38" s="82" t="s">
        <v>62</v>
      </c>
      <c r="C38" s="83"/>
      <c r="D38" s="96">
        <v>5.3999999999999999E-2</v>
      </c>
      <c r="E38" s="101">
        <v>5.0999999999999997E-2</v>
      </c>
      <c r="F38" s="81">
        <v>0.03</v>
      </c>
      <c r="G38" s="81">
        <v>0.03</v>
      </c>
      <c r="H38" s="81">
        <v>0.03</v>
      </c>
      <c r="I38" s="81">
        <v>0.03</v>
      </c>
      <c r="J38" s="81">
        <v>0.03</v>
      </c>
    </row>
    <row r="39" spans="2:10" s="24" customFormat="1" ht="15" x14ac:dyDescent="0.25">
      <c r="B39" s="82" t="s">
        <v>63</v>
      </c>
      <c r="C39" s="83"/>
      <c r="D39" s="96">
        <v>0.05</v>
      </c>
      <c r="E39" s="101">
        <v>4.8000000000000001E-2</v>
      </c>
      <c r="F39" s="81">
        <v>0.03</v>
      </c>
      <c r="G39" s="81">
        <v>0.03</v>
      </c>
      <c r="H39" s="81">
        <v>0.03</v>
      </c>
      <c r="I39" s="81">
        <v>0.03</v>
      </c>
      <c r="J39" s="81">
        <v>0.03</v>
      </c>
    </row>
    <row r="40" spans="2:10" s="24" customFormat="1" ht="15" x14ac:dyDescent="0.25">
      <c r="B40" s="82" t="s">
        <v>64</v>
      </c>
      <c r="C40" s="83"/>
      <c r="D40" s="96">
        <v>2.3E-2</v>
      </c>
      <c r="E40" s="101">
        <v>1.2999999999999999E-2</v>
      </c>
      <c r="F40" s="81">
        <v>0.03</v>
      </c>
      <c r="G40" s="81">
        <v>0.03</v>
      </c>
      <c r="H40" s="81">
        <v>0.03</v>
      </c>
      <c r="I40" s="81">
        <v>0.03</v>
      </c>
      <c r="J40" s="81">
        <v>0.03</v>
      </c>
    </row>
    <row r="41" spans="2:10" s="24" customFormat="1" ht="15" x14ac:dyDescent="0.25">
      <c r="B41" s="82" t="s">
        <v>65</v>
      </c>
      <c r="C41" s="83"/>
      <c r="D41" s="96">
        <v>0.05</v>
      </c>
      <c r="E41" s="101">
        <v>4.8000000000000001E-2</v>
      </c>
      <c r="F41" s="81">
        <v>0.03</v>
      </c>
      <c r="G41" s="81">
        <v>0.03</v>
      </c>
      <c r="H41" s="81">
        <v>0.03</v>
      </c>
      <c r="I41" s="81">
        <v>0.03</v>
      </c>
      <c r="J41" s="81">
        <v>0.03</v>
      </c>
    </row>
    <row r="42" spans="2:10" s="24" customFormat="1" ht="15" x14ac:dyDescent="0.25">
      <c r="B42" s="77" t="s">
        <v>43</v>
      </c>
      <c r="C42" s="83"/>
      <c r="D42" s="96">
        <v>9.5000000000000001E-2</v>
      </c>
      <c r="E42" s="101">
        <v>0.109</v>
      </c>
      <c r="F42" s="81">
        <v>-1.2E-2</v>
      </c>
      <c r="G42" s="81">
        <v>0.03</v>
      </c>
      <c r="H42" s="81">
        <v>0.03</v>
      </c>
      <c r="I42" s="81">
        <v>0.03</v>
      </c>
      <c r="J42" s="81">
        <v>0.03</v>
      </c>
    </row>
    <row r="43" spans="2:10" s="24" customFormat="1" ht="15" x14ac:dyDescent="0.25">
      <c r="B43" s="77"/>
      <c r="C43" s="83"/>
      <c r="D43" s="84"/>
      <c r="E43" s="85"/>
      <c r="F43" s="85"/>
      <c r="G43" s="85"/>
      <c r="H43" s="85"/>
      <c r="I43" s="85"/>
      <c r="J43" s="85"/>
    </row>
    <row r="44" spans="2:10" s="12" customFormat="1" ht="19.5" thickBot="1" x14ac:dyDescent="0.35">
      <c r="B44" s="1" t="s">
        <v>31</v>
      </c>
      <c r="C44" s="1"/>
      <c r="D44" s="1"/>
      <c r="E44" s="1"/>
      <c r="F44" s="1"/>
      <c r="G44" s="1"/>
      <c r="H44" s="1"/>
      <c r="I44" s="1"/>
      <c r="J44" s="1"/>
    </row>
    <row r="45" spans="2:10" s="12" customFormat="1" ht="15" x14ac:dyDescent="0.25">
      <c r="B45" s="17" t="s">
        <v>29</v>
      </c>
      <c r="C45" s="2"/>
      <c r="D45" s="7"/>
      <c r="E45" s="3"/>
      <c r="F45" s="4" t="s">
        <v>0</v>
      </c>
      <c r="G45" s="4"/>
      <c r="H45" s="4"/>
      <c r="I45" s="5"/>
      <c r="J45" s="6"/>
    </row>
    <row r="46" spans="2:10" s="12" customFormat="1" ht="15" x14ac:dyDescent="0.25">
      <c r="B46" s="15"/>
      <c r="C46" s="62">
        <v>45283</v>
      </c>
      <c r="D46" s="62">
        <v>45657</v>
      </c>
      <c r="E46" s="62">
        <v>46022</v>
      </c>
      <c r="F46" s="9">
        <f>E46+365</f>
        <v>46387</v>
      </c>
      <c r="G46" s="9">
        <f>F46+365</f>
        <v>46752</v>
      </c>
      <c r="H46" s="9">
        <f>G46+365</f>
        <v>47117</v>
      </c>
      <c r="I46" s="9">
        <f>H46+365</f>
        <v>47482</v>
      </c>
      <c r="J46" s="9">
        <f>I46+365</f>
        <v>47847</v>
      </c>
    </row>
    <row r="47" spans="2:10" s="12" customFormat="1" ht="15" x14ac:dyDescent="0.25">
      <c r="B47" s="16" t="s">
        <v>18</v>
      </c>
      <c r="C47" s="54"/>
      <c r="D47" s="54"/>
      <c r="E47" s="54"/>
      <c r="F47" s="28">
        <v>1</v>
      </c>
      <c r="G47" s="28">
        <f>F47+1</f>
        <v>2</v>
      </c>
      <c r="H47" s="28">
        <f>G47+1</f>
        <v>3</v>
      </c>
      <c r="I47" s="28">
        <f>H47+1</f>
        <v>4</v>
      </c>
      <c r="J47" s="28">
        <f>I47+1</f>
        <v>5</v>
      </c>
    </row>
    <row r="48" spans="2:10" s="12" customFormat="1" ht="15" x14ac:dyDescent="0.25">
      <c r="B48" s="27" t="s">
        <v>1</v>
      </c>
      <c r="C48" s="79"/>
      <c r="D48" s="79"/>
      <c r="E48" s="80"/>
      <c r="F48" s="65">
        <f>F10</f>
        <v>72013.48</v>
      </c>
      <c r="G48" s="65">
        <f>G10</f>
        <v>74173.884399999995</v>
      </c>
      <c r="H48" s="65">
        <f>H10</f>
        <v>76399.100932000001</v>
      </c>
      <c r="I48" s="65">
        <f>I10</f>
        <v>78691.073959960006</v>
      </c>
      <c r="J48" s="65">
        <f>J10</f>
        <v>81051.806178758809</v>
      </c>
    </row>
    <row r="49" spans="2:10" s="12" customFormat="1" ht="15" x14ac:dyDescent="0.25">
      <c r="B49" s="29" t="s">
        <v>2</v>
      </c>
      <c r="C49" s="21"/>
      <c r="E49" s="21"/>
      <c r="F49" s="66">
        <f>F13</f>
        <v>4320.8087999999998</v>
      </c>
      <c r="G49" s="66">
        <f>G13</f>
        <v>4450.4330639999998</v>
      </c>
      <c r="H49" s="66">
        <f>H13</f>
        <v>4583.9460559199997</v>
      </c>
      <c r="I49" s="66">
        <f>I13</f>
        <v>4721.4644375976004</v>
      </c>
      <c r="J49" s="66">
        <f>J13</f>
        <v>4863.1083707255284</v>
      </c>
    </row>
    <row r="50" spans="2:10" s="12" customFormat="1" ht="15" x14ac:dyDescent="0.25">
      <c r="B50" s="27" t="s">
        <v>9</v>
      </c>
      <c r="C50" s="21"/>
      <c r="D50" s="21"/>
      <c r="E50" s="21"/>
      <c r="F50" s="66">
        <f>F16</f>
        <v>3096.5796399999995</v>
      </c>
      <c r="G50" s="66">
        <f>G16</f>
        <v>3189.4770291999994</v>
      </c>
      <c r="H50" s="66">
        <f>H16</f>
        <v>3285.1613400759998</v>
      </c>
      <c r="I50" s="66">
        <f>I16</f>
        <v>3383.7161802782798</v>
      </c>
      <c r="J50" s="66">
        <f>J16</f>
        <v>3485.2276656866284</v>
      </c>
    </row>
    <row r="51" spans="2:10" s="12" customFormat="1" ht="15" x14ac:dyDescent="0.25">
      <c r="B51" s="27" t="s">
        <v>10</v>
      </c>
      <c r="C51" s="87"/>
      <c r="D51" s="87"/>
      <c r="E51" s="87"/>
      <c r="F51" s="20">
        <v>0.25</v>
      </c>
      <c r="G51" s="20">
        <v>0.25</v>
      </c>
      <c r="H51" s="20">
        <v>0.25</v>
      </c>
      <c r="I51" s="20">
        <v>0.25</v>
      </c>
      <c r="J51" s="20">
        <v>0.25</v>
      </c>
    </row>
    <row r="52" spans="2:10" s="12" customFormat="1" ht="15" x14ac:dyDescent="0.25">
      <c r="B52" s="15" t="s">
        <v>11</v>
      </c>
      <c r="C52" s="88"/>
      <c r="D52" s="88"/>
      <c r="E52" s="88"/>
      <c r="F52" s="37">
        <f>F50*(1-F51)</f>
        <v>2322.4347299999995</v>
      </c>
      <c r="G52" s="37">
        <f>G50*(1-G51)</f>
        <v>2392.1077718999995</v>
      </c>
      <c r="H52" s="37">
        <f>H50*(1-H51)</f>
        <v>2463.8710050569998</v>
      </c>
      <c r="I52" s="37">
        <f>I50*(1-I51)</f>
        <v>2537.78713520871</v>
      </c>
      <c r="J52" s="37">
        <f>J50*(1-J51)</f>
        <v>2613.9207492649712</v>
      </c>
    </row>
    <row r="53" spans="2:10" s="12" customFormat="1" ht="15" x14ac:dyDescent="0.25">
      <c r="B53" s="30" t="s">
        <v>12</v>
      </c>
      <c r="C53" s="68"/>
      <c r="D53" s="68"/>
      <c r="E53" s="68"/>
      <c r="F53" s="67">
        <f>F19</f>
        <v>1296.2426399999999</v>
      </c>
      <c r="G53" s="67">
        <f>G19</f>
        <v>1335.1299191999999</v>
      </c>
      <c r="H53" s="67">
        <f>H19</f>
        <v>1375.183816776</v>
      </c>
      <c r="I53" s="67">
        <f>I19</f>
        <v>1416.4393312792799</v>
      </c>
      <c r="J53" s="67">
        <f>J19</f>
        <v>1458.9325112176584</v>
      </c>
    </row>
    <row r="54" spans="2:10" s="12" customFormat="1" ht="15" x14ac:dyDescent="0.25">
      <c r="B54" s="18" t="s">
        <v>3</v>
      </c>
      <c r="C54" s="68"/>
      <c r="D54" s="68"/>
      <c r="E54" s="68"/>
      <c r="F54" s="68">
        <f t="shared" ref="F54:J56" si="2">E26-F26</f>
        <v>-105</v>
      </c>
      <c r="G54" s="68">
        <f t="shared" si="2"/>
        <v>-108.15000000000009</v>
      </c>
      <c r="H54" s="68">
        <f t="shared" si="2"/>
        <v>-111.39449999999988</v>
      </c>
      <c r="I54" s="68">
        <f t="shared" si="2"/>
        <v>-114.73633500000005</v>
      </c>
      <c r="J54" s="68">
        <f t="shared" si="2"/>
        <v>-118.17842504999999</v>
      </c>
    </row>
    <row r="55" spans="2:10" s="12" customFormat="1" ht="15" x14ac:dyDescent="0.25">
      <c r="B55" s="18" t="s">
        <v>4</v>
      </c>
      <c r="C55" s="68"/>
      <c r="D55" s="68"/>
      <c r="E55" s="68"/>
      <c r="F55" s="68">
        <f t="shared" si="2"/>
        <v>-93</v>
      </c>
      <c r="G55" s="68">
        <f t="shared" si="2"/>
        <v>-95.789999999999964</v>
      </c>
      <c r="H55" s="68">
        <f t="shared" si="2"/>
        <v>-98.663700000000063</v>
      </c>
      <c r="I55" s="68">
        <f t="shared" si="2"/>
        <v>-101.62361099999998</v>
      </c>
      <c r="J55" s="68">
        <f t="shared" si="2"/>
        <v>-104.67231932999994</v>
      </c>
    </row>
    <row r="56" spans="2:10" s="12" customFormat="1" ht="15" x14ac:dyDescent="0.25">
      <c r="B56" s="18" t="s">
        <v>5</v>
      </c>
      <c r="C56" s="68"/>
      <c r="D56" s="68"/>
      <c r="F56" s="68">
        <f t="shared" si="2"/>
        <v>-6.5999999999999943</v>
      </c>
      <c r="G56" s="68">
        <f t="shared" si="2"/>
        <v>-6.7980000000000018</v>
      </c>
      <c r="H56" s="68">
        <f t="shared" si="2"/>
        <v>-7.0019400000000189</v>
      </c>
      <c r="I56" s="68">
        <f t="shared" si="2"/>
        <v>-7.2119982000000107</v>
      </c>
      <c r="J56" s="68">
        <f t="shared" si="2"/>
        <v>-7.4283581459999937</v>
      </c>
    </row>
    <row r="57" spans="2:10" s="12" customFormat="1" ht="15" x14ac:dyDescent="0.25">
      <c r="B57" s="18" t="s">
        <v>6</v>
      </c>
      <c r="C57" s="68"/>
      <c r="D57" s="68"/>
      <c r="F57" s="68">
        <f t="shared" ref="F57:J58" si="3">F30-E30</f>
        <v>307.44000000000051</v>
      </c>
      <c r="G57" s="68">
        <f t="shared" si="3"/>
        <v>316.66320000000087</v>
      </c>
      <c r="H57" s="68">
        <f t="shared" si="3"/>
        <v>326.16309600000022</v>
      </c>
      <c r="I57" s="68">
        <f t="shared" si="3"/>
        <v>335.94798887999968</v>
      </c>
      <c r="J57" s="68">
        <f t="shared" si="3"/>
        <v>346.02642854639998</v>
      </c>
    </row>
    <row r="58" spans="2:10" s="12" customFormat="1" ht="15" x14ac:dyDescent="0.25">
      <c r="B58" s="18" t="s">
        <v>7</v>
      </c>
      <c r="C58" s="21"/>
      <c r="D58" s="68"/>
      <c r="E58" s="68"/>
      <c r="F58" s="68">
        <f t="shared" si="3"/>
        <v>33</v>
      </c>
      <c r="G58" s="68">
        <f t="shared" si="3"/>
        <v>33.990000000000009</v>
      </c>
      <c r="H58" s="68">
        <f t="shared" si="3"/>
        <v>35.009700000000066</v>
      </c>
      <c r="I58" s="68">
        <f t="shared" si="3"/>
        <v>36.059991000000082</v>
      </c>
      <c r="J58" s="68">
        <f t="shared" si="3"/>
        <v>37.141790730000139</v>
      </c>
    </row>
    <row r="59" spans="2:10" s="12" customFormat="1" ht="15" x14ac:dyDescent="0.25">
      <c r="B59" s="30" t="s">
        <v>8</v>
      </c>
      <c r="C59" s="68"/>
      <c r="D59" s="68"/>
      <c r="E59" s="68"/>
      <c r="F59" s="68">
        <f>-F35</f>
        <v>-1439.5160000000001</v>
      </c>
      <c r="G59" s="68">
        <f>-G35</f>
        <v>-1482.7014800000002</v>
      </c>
      <c r="H59" s="68">
        <f>-H35</f>
        <v>-1527.1825244000001</v>
      </c>
      <c r="I59" s="68">
        <f>-I35</f>
        <v>-1572.9980001320002</v>
      </c>
      <c r="J59" s="68">
        <f>-J35</f>
        <v>-1620.1879401359604</v>
      </c>
    </row>
    <row r="60" spans="2:10" s="12" customFormat="1" ht="15" x14ac:dyDescent="0.25">
      <c r="B60" s="15" t="s">
        <v>13</v>
      </c>
      <c r="C60" s="89"/>
      <c r="D60" s="89"/>
      <c r="E60" s="89"/>
      <c r="F60" s="37">
        <f>SUM(F52:F59)</f>
        <v>2315.00137</v>
      </c>
      <c r="G60" s="37">
        <f>SUM(G52:G59)</f>
        <v>2384.4514110999994</v>
      </c>
      <c r="H60" s="37">
        <f>SUM(H52:H59)</f>
        <v>2455.9849534329996</v>
      </c>
      <c r="I60" s="37">
        <f>SUM(I52:I59)</f>
        <v>2529.6645020359902</v>
      </c>
      <c r="J60" s="37">
        <f>SUM(J52:J59)</f>
        <v>2605.5544370970692</v>
      </c>
    </row>
    <row r="61" spans="2:10" s="12" customFormat="1" ht="15" x14ac:dyDescent="0.25">
      <c r="B61" s="31" t="s">
        <v>30</v>
      </c>
      <c r="C61" s="71"/>
      <c r="D61" s="36"/>
      <c r="E61" s="36"/>
      <c r="F61" s="36">
        <f>D88</f>
        <v>0.10024746181689767</v>
      </c>
      <c r="G61" s="36">
        <f>D88</f>
        <v>0.10024746181689767</v>
      </c>
      <c r="H61" s="36">
        <f>D88</f>
        <v>0.10024746181689767</v>
      </c>
      <c r="I61" s="36">
        <f>D88</f>
        <v>0.10024746181689767</v>
      </c>
      <c r="J61" s="36">
        <f>D88</f>
        <v>0.10024746181689767</v>
      </c>
    </row>
    <row r="62" spans="2:10" s="12" customFormat="1" ht="15" x14ac:dyDescent="0.25">
      <c r="B62" s="31" t="s">
        <v>14</v>
      </c>
      <c r="C62" s="35"/>
      <c r="D62" s="35"/>
      <c r="E62" s="35"/>
      <c r="F62" s="35">
        <f>F60/(1+F61)^F47</f>
        <v>2104.073356531188</v>
      </c>
      <c r="G62" s="35">
        <f>G60/(1+G61)^G47</f>
        <v>1969.7346573727307</v>
      </c>
      <c r="H62" s="35">
        <f>H60/(1+H61)^H47</f>
        <v>1843.9730765146255</v>
      </c>
      <c r="I62" s="35">
        <f>I60/(1+I61)^I47</f>
        <v>1726.2409909800306</v>
      </c>
      <c r="J62" s="35">
        <f>J60/(1+J61)^J47</f>
        <v>1616.0257418574527</v>
      </c>
    </row>
    <row r="63" spans="2:10" s="12" customFormat="1" ht="15" x14ac:dyDescent="0.25">
      <c r="B63" s="15" t="s">
        <v>15</v>
      </c>
      <c r="C63" s="37">
        <f>SUM(F62:J62)</f>
        <v>9260.0478232560272</v>
      </c>
      <c r="D63" s="12" t="s">
        <v>73</v>
      </c>
    </row>
    <row r="64" spans="2:10" s="12" customFormat="1" ht="15" x14ac:dyDescent="0.25">
      <c r="D64" s="12" t="s">
        <v>68</v>
      </c>
    </row>
    <row r="65" spans="2:10" s="12" customFormat="1" ht="19.5" thickBot="1" x14ac:dyDescent="0.35">
      <c r="B65" s="1" t="s">
        <v>32</v>
      </c>
      <c r="C65" s="1"/>
      <c r="D65" s="1"/>
      <c r="E65" s="1"/>
      <c r="F65" s="1"/>
      <c r="G65" s="1"/>
      <c r="H65" s="1"/>
      <c r="I65" s="1"/>
      <c r="J65" s="1"/>
    </row>
    <row r="66" spans="2:10" s="12" customFormat="1" ht="15" x14ac:dyDescent="0.25">
      <c r="B66" s="90" t="s">
        <v>33</v>
      </c>
      <c r="C66" s="41"/>
      <c r="F66" s="32"/>
      <c r="G66" s="41"/>
    </row>
    <row r="67" spans="2:10" s="12" customFormat="1" ht="15" x14ac:dyDescent="0.25">
      <c r="B67" s="27" t="s">
        <v>16</v>
      </c>
      <c r="C67" s="39">
        <v>2.5000000000000001E-2</v>
      </c>
      <c r="F67" s="31"/>
      <c r="G67" s="52"/>
    </row>
    <row r="68" spans="2:10" s="12" customFormat="1" ht="15" x14ac:dyDescent="0.25">
      <c r="B68" s="27" t="s">
        <v>35</v>
      </c>
      <c r="C68" s="75">
        <f>D88</f>
        <v>0.10024746181689767</v>
      </c>
      <c r="F68" s="31"/>
      <c r="G68" s="52"/>
    </row>
    <row r="69" spans="2:10" s="12" customFormat="1" ht="15" x14ac:dyDescent="0.25">
      <c r="B69" s="27" t="s">
        <v>17</v>
      </c>
      <c r="C69" s="12">
        <f>J60*(1+C67)</f>
        <v>2670.6932980244956</v>
      </c>
      <c r="F69" s="31"/>
      <c r="G69" s="38"/>
    </row>
    <row r="70" spans="2:10" s="12" customFormat="1" ht="15" x14ac:dyDescent="0.25">
      <c r="B70" s="27" t="s">
        <v>32</v>
      </c>
      <c r="C70" s="38">
        <f>C69/(C68-C67)</f>
        <v>35492.137987633236</v>
      </c>
      <c r="F70" s="31"/>
      <c r="G70" s="38"/>
    </row>
    <row r="71" spans="2:10" s="12" customFormat="1" ht="15" x14ac:dyDescent="0.25">
      <c r="B71" s="15" t="s">
        <v>44</v>
      </c>
      <c r="C71" s="48">
        <f>C70/(1+J61)^J47</f>
        <v>22013.053269949887</v>
      </c>
      <c r="D71" s="12" t="s">
        <v>72</v>
      </c>
      <c r="F71" s="31"/>
      <c r="G71" s="46"/>
    </row>
    <row r="72" spans="2:10" s="12" customFormat="1" ht="15" x14ac:dyDescent="0.25">
      <c r="C72" s="40"/>
    </row>
    <row r="73" spans="2:10" s="12" customFormat="1" ht="19.5" thickBot="1" x14ac:dyDescent="0.35">
      <c r="B73" s="1" t="s">
        <v>35</v>
      </c>
      <c r="C73" s="1"/>
      <c r="D73" s="1"/>
      <c r="E73" s="1"/>
      <c r="F73" s="1"/>
      <c r="G73" s="1"/>
      <c r="H73" s="1"/>
      <c r="I73" s="1"/>
      <c r="J73" s="1"/>
    </row>
    <row r="74" spans="2:10" s="12" customFormat="1" ht="15" x14ac:dyDescent="0.25">
      <c r="B74" s="27" t="s">
        <v>20</v>
      </c>
      <c r="D74" s="72">
        <f>D4</f>
        <v>25</v>
      </c>
    </row>
    <row r="75" spans="2:10" s="12" customFormat="1" ht="15" x14ac:dyDescent="0.25">
      <c r="B75" s="27" t="s">
        <v>47</v>
      </c>
      <c r="D75" s="73">
        <f>D5</f>
        <v>500</v>
      </c>
    </row>
    <row r="76" spans="2:10" s="12" customFormat="1" ht="15" x14ac:dyDescent="0.25">
      <c r="B76" s="27" t="s">
        <v>23</v>
      </c>
      <c r="D76" s="39">
        <v>5.1999999999999998E-2</v>
      </c>
    </row>
    <row r="77" spans="2:10" s="12" customFormat="1" ht="15" x14ac:dyDescent="0.25">
      <c r="B77" s="27" t="s">
        <v>19</v>
      </c>
      <c r="D77" s="39">
        <v>0.25</v>
      </c>
    </row>
    <row r="78" spans="2:10" s="12" customFormat="1" ht="15" x14ac:dyDescent="0.25">
      <c r="B78" s="27" t="s">
        <v>45</v>
      </c>
      <c r="D78" s="74">
        <f>D76*(1-D77)</f>
        <v>3.9E-2</v>
      </c>
    </row>
    <row r="79" spans="2:10" s="12" customFormat="1" ht="15" x14ac:dyDescent="0.25">
      <c r="B79" s="27" t="s">
        <v>24</v>
      </c>
      <c r="D79" s="39">
        <v>0.15</v>
      </c>
      <c r="F79" s="12" t="s">
        <v>69</v>
      </c>
    </row>
    <row r="80" spans="2:10" s="12" customFormat="1" ht="15" x14ac:dyDescent="0.25">
      <c r="C80" s="40"/>
    </row>
    <row r="81" spans="2:10" s="12" customFormat="1" ht="15" x14ac:dyDescent="0.25">
      <c r="B81" s="27" t="s">
        <v>36</v>
      </c>
      <c r="D81" s="21">
        <f>E33</f>
        <v>10154</v>
      </c>
      <c r="E81" s="27"/>
      <c r="I81" s="27"/>
      <c r="J81" s="27"/>
    </row>
    <row r="82" spans="2:10" s="12" customFormat="1" ht="15" x14ac:dyDescent="0.25">
      <c r="B82" s="27" t="s">
        <v>37</v>
      </c>
      <c r="C82" s="42"/>
      <c r="D82" s="27">
        <f>D74*D75</f>
        <v>12500</v>
      </c>
      <c r="E82" s="27"/>
      <c r="I82" s="27"/>
      <c r="J82" s="27"/>
    </row>
    <row r="83" spans="2:10" s="12" customFormat="1" ht="15" x14ac:dyDescent="0.25">
      <c r="B83" s="32" t="s">
        <v>26</v>
      </c>
      <c r="C83" s="27"/>
      <c r="D83" s="37">
        <f>SUM(D81:D82)</f>
        <v>22654</v>
      </c>
      <c r="E83" s="27"/>
      <c r="I83" s="27"/>
      <c r="J83" s="27"/>
    </row>
    <row r="84" spans="2:10" s="12" customFormat="1" ht="15" x14ac:dyDescent="0.25">
      <c r="B84" s="32"/>
      <c r="C84" s="27"/>
      <c r="D84" s="42"/>
      <c r="E84" s="27"/>
      <c r="I84" s="27"/>
      <c r="J84" s="27"/>
    </row>
    <row r="85" spans="2:10" s="12" customFormat="1" ht="15" x14ac:dyDescent="0.25">
      <c r="B85" s="12" t="s">
        <v>25</v>
      </c>
      <c r="C85" s="27"/>
      <c r="D85" s="43">
        <f>D81/D83</f>
        <v>0.44822106471263351</v>
      </c>
      <c r="E85" s="27"/>
      <c r="I85" s="27"/>
      <c r="J85" s="27"/>
    </row>
    <row r="86" spans="2:10" s="12" customFormat="1" ht="15" x14ac:dyDescent="0.25">
      <c r="B86" s="12" t="s">
        <v>27</v>
      </c>
      <c r="C86" s="27" t="s">
        <v>68</v>
      </c>
      <c r="D86" s="102">
        <f>D82/D83</f>
        <v>0.55177893528736643</v>
      </c>
      <c r="E86" s="27"/>
      <c r="I86" s="27"/>
      <c r="J86" s="27"/>
    </row>
    <row r="87" spans="2:10" s="12" customFormat="1" ht="15" x14ac:dyDescent="0.25">
      <c r="B87" s="32"/>
      <c r="C87" s="27"/>
      <c r="D87" s="42"/>
      <c r="E87" s="27"/>
      <c r="I87" s="27"/>
      <c r="J87" s="27"/>
    </row>
    <row r="88" spans="2:10" s="12" customFormat="1" ht="15" x14ac:dyDescent="0.25">
      <c r="B88" s="91" t="s">
        <v>28</v>
      </c>
      <c r="C88" s="92"/>
      <c r="D88" s="93">
        <f>D86*D79+D85*D78</f>
        <v>0.10024746181689767</v>
      </c>
    </row>
    <row r="89" spans="2:10" s="12" customFormat="1" ht="15" x14ac:dyDescent="0.25">
      <c r="C89" s="40"/>
    </row>
    <row r="90" spans="2:10" s="12" customFormat="1" ht="19.5" thickBot="1" x14ac:dyDescent="0.35">
      <c r="B90" s="1" t="s">
        <v>34</v>
      </c>
      <c r="C90" s="1"/>
      <c r="D90" s="1"/>
      <c r="E90" s="1"/>
      <c r="F90" s="1"/>
      <c r="G90" s="1"/>
      <c r="H90" s="1"/>
      <c r="I90" s="1"/>
      <c r="J90" s="1"/>
    </row>
    <row r="91" spans="2:10" s="12" customFormat="1" ht="15" x14ac:dyDescent="0.25">
      <c r="B91" s="27" t="s">
        <v>38</v>
      </c>
      <c r="C91" s="46"/>
      <c r="D91" s="22">
        <f>SUM(C63+C71)</f>
        <v>31273.101093205914</v>
      </c>
    </row>
    <row r="92" spans="2:10" s="12" customFormat="1" ht="15.75" x14ac:dyDescent="0.25">
      <c r="B92" s="27" t="s">
        <v>39</v>
      </c>
      <c r="C92" s="45"/>
      <c r="D92" s="21">
        <f>E33-E25</f>
        <v>7835</v>
      </c>
      <c r="E92" s="31"/>
      <c r="F92" s="46"/>
      <c r="H92" s="103"/>
      <c r="I92" s="104"/>
      <c r="J92" s="105" t="s">
        <v>70</v>
      </c>
    </row>
    <row r="93" spans="2:10" s="12" customFormat="1" ht="15" x14ac:dyDescent="0.25">
      <c r="B93" s="15" t="s">
        <v>22</v>
      </c>
      <c r="D93" s="37">
        <f>D91-D92</f>
        <v>23438.101093205914</v>
      </c>
      <c r="E93" s="33"/>
      <c r="F93" s="45"/>
    </row>
    <row r="94" spans="2:10" s="12" customFormat="1" ht="15" x14ac:dyDescent="0.25">
      <c r="B94" s="27" t="s">
        <v>47</v>
      </c>
      <c r="D94" s="55">
        <f>D5</f>
        <v>500</v>
      </c>
      <c r="E94" s="47"/>
      <c r="F94" s="56"/>
    </row>
    <row r="95" spans="2:10" s="12" customFormat="1" ht="15" x14ac:dyDescent="0.25">
      <c r="B95" s="53" t="s">
        <v>40</v>
      </c>
      <c r="C95" s="54"/>
      <c r="D95" s="49">
        <f>D93/D94</f>
        <v>46.876202186411831</v>
      </c>
      <c r="E95" s="57"/>
      <c r="F95" s="44"/>
    </row>
    <row r="96" spans="2:10" s="12" customFormat="1" ht="15" x14ac:dyDescent="0.25">
      <c r="D96" s="23"/>
      <c r="E96" s="47"/>
      <c r="F96" s="58"/>
    </row>
    <row r="97" spans="2:2" s="40" customFormat="1" ht="15" x14ac:dyDescent="0.25">
      <c r="B97" s="15" t="s">
        <v>66</v>
      </c>
    </row>
    <row r="98" spans="2:2" s="40" customFormat="1" ht="15" x14ac:dyDescent="0.25">
      <c r="B98" s="27"/>
    </row>
    <row r="99" spans="2:2" ht="45" x14ac:dyDescent="0.25">
      <c r="B99" s="106" t="s">
        <v>74</v>
      </c>
    </row>
  </sheetData>
  <sheetProtection selectLockedCells="1" selectUnlockedCells="1"/>
  <pageMargins left="0.7" right="0.7" top="0.75" bottom="0.75" header="0.3" footer="0.3"/>
  <pageSetup orientation="portrait" horizontalDpi="429496729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DCF Exercise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 Street Prep, LLC</dc:creator>
  <cp:lastModifiedBy>Asad Mahmood</cp:lastModifiedBy>
  <dcterms:created xsi:type="dcterms:W3CDTF">2006-10-30T23:26:47Z</dcterms:created>
  <dcterms:modified xsi:type="dcterms:W3CDTF">2026-06-13T21:27:54Z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62fb345c-4c14-4d1e-bb3c-4029585c5755</vt:lpwstr>
  </property>
</Properties>
</file>